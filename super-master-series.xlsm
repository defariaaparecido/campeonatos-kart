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5" documentId="8_{EF2B75B0-CDF1-4C1C-88A0-C74191DE4B32}" xr6:coauthVersionLast="47" xr6:coauthVersionMax="47" xr10:uidLastSave="{8B0C342F-BACB-4180-8321-121347883407}"/>
  <bookViews>
    <workbookView xWindow="-120" yWindow="-120" windowWidth="20730" windowHeight="11160" tabRatio="790" activeTab="5" xr2:uid="{00000000-000D-0000-FFFF-FFFF00000000}"/>
  </bookViews>
  <sheets>
    <sheet name="TROCA KART" sheetId="2126" r:id="rId1"/>
    <sheet name="PRESENÇAS" sheetId="2127" r:id="rId2"/>
    <sheet name="TABELA" sheetId="2128" r:id="rId3"/>
    <sheet name="CLASSIFICAÇÃO" sheetId="2129" r:id="rId4"/>
    <sheet name="CAMP PILOTO EVOL" sheetId="2130" r:id="rId5"/>
    <sheet name="LARGADA" sheetId="2132" r:id="rId6"/>
    <sheet name="Vazia" sheetId="11" r:id="rId7"/>
  </sheets>
  <definedNames>
    <definedName name="_xlnm._FilterDatabase" localSheetId="3" hidden="1">CLASSIFICAÇÃO!$B$4:$C$49</definedName>
    <definedName name="_xlnm._FilterDatabase" localSheetId="5" hidden="1">LARGADA!$A$2:$E$48</definedName>
    <definedName name="_xlnm._FilterDatabase" localSheetId="1" hidden="1">PRESENÇAS!$A$1:$O$46</definedName>
    <definedName name="_xlnm._FilterDatabase" localSheetId="2" hidden="1">TABELA!$H$4:$K$49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2130" l="1"/>
  <c r="F6" i="2130"/>
  <c r="H6" i="2130"/>
  <c r="K6" i="2130"/>
  <c r="M6" i="2130"/>
  <c r="P6" i="2130"/>
  <c r="R6" i="2130"/>
  <c r="U6" i="2130"/>
  <c r="W6" i="2130"/>
  <c r="Z6" i="2130"/>
  <c r="AB6" i="2130"/>
  <c r="AE6" i="2130"/>
  <c r="AG6" i="2130"/>
  <c r="AJ6" i="2130"/>
  <c r="AL6" i="2130"/>
  <c r="AO6" i="2130"/>
  <c r="AQ6" i="2130"/>
  <c r="AT6" i="2130"/>
  <c r="AV6" i="2130"/>
  <c r="AY6" i="2130"/>
  <c r="BA6" i="2130"/>
  <c r="BD6" i="2130"/>
  <c r="BF6" i="2130"/>
  <c r="BI6" i="2130"/>
  <c r="BK6" i="2130"/>
  <c r="F7" i="2130"/>
  <c r="H7" i="2130"/>
  <c r="K7" i="2130"/>
  <c r="M7" i="2130"/>
  <c r="P7" i="2130"/>
  <c r="R7" i="2130"/>
  <c r="U7" i="2130"/>
  <c r="W7" i="2130"/>
  <c r="Z7" i="2130"/>
  <c r="AB7" i="2130"/>
  <c r="AE7" i="2130"/>
  <c r="AG7" i="2130"/>
  <c r="AJ7" i="2130"/>
  <c r="AL7" i="2130"/>
  <c r="AO7" i="2130"/>
  <c r="AQ7" i="2130"/>
  <c r="AT7" i="2130"/>
  <c r="AV7" i="2130"/>
  <c r="AY7" i="2130"/>
  <c r="BA7" i="2130"/>
  <c r="BD7" i="2130"/>
  <c r="BF7" i="2130"/>
  <c r="BI7" i="2130"/>
  <c r="BK7" i="2130"/>
  <c r="F8" i="2130"/>
  <c r="H8" i="2130"/>
  <c r="K8" i="2130"/>
  <c r="M8" i="2130"/>
  <c r="P8" i="2130"/>
  <c r="R8" i="2130"/>
  <c r="U8" i="2130"/>
  <c r="W8" i="2130"/>
  <c r="Z8" i="2130"/>
  <c r="AB8" i="2130"/>
  <c r="AE8" i="2130"/>
  <c r="AG8" i="2130"/>
  <c r="AJ8" i="2130"/>
  <c r="AL8" i="2130"/>
  <c r="AO8" i="2130"/>
  <c r="AQ8" i="2130"/>
  <c r="AT8" i="2130"/>
  <c r="AV8" i="2130"/>
  <c r="AY8" i="2130"/>
  <c r="BA8" i="2130"/>
  <c r="BD8" i="2130"/>
  <c r="BF8" i="2130"/>
  <c r="BI8" i="2130"/>
  <c r="BK8" i="2130"/>
  <c r="F9" i="2130"/>
  <c r="H9" i="2130"/>
  <c r="K9" i="2130"/>
  <c r="M9" i="2130"/>
  <c r="P9" i="2130"/>
  <c r="R9" i="2130"/>
  <c r="U9" i="2130"/>
  <c r="W9" i="2130"/>
  <c r="Z9" i="2130"/>
  <c r="AB9" i="2130"/>
  <c r="AE9" i="2130"/>
  <c r="AG9" i="2130"/>
  <c r="AJ9" i="2130"/>
  <c r="AL9" i="2130"/>
  <c r="AO9" i="2130"/>
  <c r="AQ9" i="2130"/>
  <c r="AT9" i="2130"/>
  <c r="AV9" i="2130"/>
  <c r="AY9" i="2130"/>
  <c r="BA9" i="2130"/>
  <c r="BD9" i="2130"/>
  <c r="BF9" i="2130"/>
  <c r="BI9" i="2130"/>
  <c r="BK9" i="2130"/>
  <c r="F10" i="2130"/>
  <c r="G10" i="2130"/>
  <c r="H10" i="2130"/>
  <c r="K10" i="2130"/>
  <c r="L10" i="2130"/>
  <c r="M10" i="2130"/>
  <c r="P10" i="2130"/>
  <c r="Q10" i="2130"/>
  <c r="R10" i="2130"/>
  <c r="U10" i="2130"/>
  <c r="V10" i="2130"/>
  <c r="W10" i="2130"/>
  <c r="Z10" i="2130"/>
  <c r="AA10" i="2130"/>
  <c r="AB10" i="2130"/>
  <c r="AE10" i="2130"/>
  <c r="AF10" i="2130"/>
  <c r="AG10" i="2130"/>
  <c r="AJ10" i="2130"/>
  <c r="AK10" i="2130"/>
  <c r="AL10" i="2130"/>
  <c r="AO10" i="2130"/>
  <c r="AP10" i="2130"/>
  <c r="AQ10" i="2130"/>
  <c r="AT10" i="2130"/>
  <c r="AU10" i="2130"/>
  <c r="AV10" i="2130"/>
  <c r="AY10" i="2130"/>
  <c r="AZ10" i="2130"/>
  <c r="BA10" i="2130"/>
  <c r="BD10" i="2130"/>
  <c r="BE10" i="2130"/>
  <c r="BF10" i="2130"/>
  <c r="BI10" i="2130"/>
  <c r="BJ10" i="2130"/>
  <c r="BK10" i="2130"/>
  <c r="F11" i="2130"/>
  <c r="G11" i="2130"/>
  <c r="H11" i="2130"/>
  <c r="K11" i="2130"/>
  <c r="L11" i="2130"/>
  <c r="M11" i="2130"/>
  <c r="P11" i="2130"/>
  <c r="Q11" i="2130"/>
  <c r="R11" i="2130"/>
  <c r="U11" i="2130"/>
  <c r="V11" i="2130"/>
  <c r="W11" i="2130"/>
  <c r="Z11" i="2130"/>
  <c r="AA11" i="2130"/>
  <c r="AB11" i="2130"/>
  <c r="AE11" i="2130"/>
  <c r="AF11" i="2130"/>
  <c r="AG11" i="2130"/>
  <c r="AJ11" i="2130"/>
  <c r="AK11" i="2130"/>
  <c r="AL11" i="2130"/>
  <c r="AO11" i="2130"/>
  <c r="AP11" i="2130"/>
  <c r="AQ11" i="2130"/>
  <c r="AT11" i="2130"/>
  <c r="AU11" i="2130"/>
  <c r="AV11" i="2130"/>
  <c r="AY11" i="2130"/>
  <c r="AZ11" i="2130"/>
  <c r="BA11" i="2130"/>
  <c r="BD11" i="2130"/>
  <c r="BE11" i="2130"/>
  <c r="BF11" i="2130"/>
  <c r="BI11" i="2130"/>
  <c r="BJ11" i="2130"/>
  <c r="BK11" i="2130"/>
  <c r="F12" i="2130"/>
  <c r="G12" i="2130"/>
  <c r="H12" i="2130"/>
  <c r="K12" i="2130"/>
  <c r="L12" i="2130"/>
  <c r="M12" i="2130"/>
  <c r="P12" i="2130"/>
  <c r="Q12" i="2130"/>
  <c r="R12" i="2130"/>
  <c r="U12" i="2130"/>
  <c r="V12" i="2130"/>
  <c r="W12" i="2130"/>
  <c r="Z12" i="2130"/>
  <c r="AA12" i="2130"/>
  <c r="AB12" i="2130"/>
  <c r="AE12" i="2130"/>
  <c r="AF12" i="2130"/>
  <c r="AG12" i="2130"/>
  <c r="AJ12" i="2130"/>
  <c r="AK12" i="2130"/>
  <c r="AL12" i="2130"/>
  <c r="AO12" i="2130"/>
  <c r="AP12" i="2130"/>
  <c r="AQ12" i="2130"/>
  <c r="AT12" i="2130"/>
  <c r="AU12" i="2130"/>
  <c r="AV12" i="2130"/>
  <c r="AY12" i="2130"/>
  <c r="AZ12" i="2130"/>
  <c r="BA12" i="2130"/>
  <c r="BD12" i="2130"/>
  <c r="BE12" i="2130"/>
  <c r="BF12" i="2130"/>
  <c r="BI12" i="2130"/>
  <c r="BJ12" i="2130"/>
  <c r="BK12" i="2130"/>
  <c r="F13" i="2130"/>
  <c r="G13" i="2130"/>
  <c r="H13" i="2130"/>
  <c r="K13" i="2130"/>
  <c r="L13" i="2130"/>
  <c r="M13" i="2130"/>
  <c r="P13" i="2130"/>
  <c r="Q13" i="2130"/>
  <c r="R13" i="2130"/>
  <c r="U13" i="2130"/>
  <c r="V13" i="2130"/>
  <c r="W13" i="2130"/>
  <c r="Z13" i="2130"/>
  <c r="AA13" i="2130"/>
  <c r="AB13" i="2130"/>
  <c r="AE13" i="2130"/>
  <c r="AF13" i="2130"/>
  <c r="AG13" i="2130"/>
  <c r="AJ13" i="2130"/>
  <c r="AK13" i="2130"/>
  <c r="AL13" i="2130"/>
  <c r="AO13" i="2130"/>
  <c r="AP13" i="2130"/>
  <c r="AQ13" i="2130"/>
  <c r="AT13" i="2130"/>
  <c r="AU13" i="2130"/>
  <c r="AV13" i="2130"/>
  <c r="AY13" i="2130"/>
  <c r="AZ13" i="2130"/>
  <c r="BA13" i="2130"/>
  <c r="BD13" i="2130"/>
  <c r="BE13" i="2130"/>
  <c r="BF13" i="2130"/>
  <c r="BI13" i="2130"/>
  <c r="BJ13" i="2130"/>
  <c r="BK13" i="2130"/>
  <c r="F14" i="2130"/>
  <c r="G14" i="2130"/>
  <c r="H14" i="2130"/>
  <c r="K14" i="2130"/>
  <c r="L14" i="2130"/>
  <c r="M14" i="2130"/>
  <c r="P14" i="2130"/>
  <c r="Q14" i="2130"/>
  <c r="R14" i="2130"/>
  <c r="U14" i="2130"/>
  <c r="V14" i="2130"/>
  <c r="W14" i="2130"/>
  <c r="Z14" i="2130"/>
  <c r="AA14" i="2130"/>
  <c r="AB14" i="2130"/>
  <c r="AE14" i="2130"/>
  <c r="AF14" i="2130"/>
  <c r="AG14" i="2130"/>
  <c r="AJ14" i="2130"/>
  <c r="AK14" i="2130"/>
  <c r="AL14" i="2130"/>
  <c r="AO14" i="2130"/>
  <c r="AP14" i="2130"/>
  <c r="AQ14" i="2130"/>
  <c r="AT14" i="2130"/>
  <c r="AU14" i="2130"/>
  <c r="AV14" i="2130"/>
  <c r="AY14" i="2130"/>
  <c r="AZ14" i="2130"/>
  <c r="BA14" i="2130"/>
  <c r="BD14" i="2130"/>
  <c r="BE14" i="2130"/>
  <c r="BF14" i="2130"/>
  <c r="BI14" i="2130"/>
  <c r="BJ14" i="2130"/>
  <c r="BK14" i="2130"/>
  <c r="F15" i="2130"/>
  <c r="G15" i="2130"/>
  <c r="H15" i="2130"/>
  <c r="K15" i="2130"/>
  <c r="L15" i="2130"/>
  <c r="M15" i="2130"/>
  <c r="P15" i="2130"/>
  <c r="Q15" i="2130"/>
  <c r="R15" i="2130"/>
  <c r="U15" i="2130"/>
  <c r="V15" i="2130"/>
  <c r="W15" i="2130"/>
  <c r="Z15" i="2130"/>
  <c r="AA15" i="2130"/>
  <c r="AB15" i="2130"/>
  <c r="AE15" i="2130"/>
  <c r="AF15" i="2130"/>
  <c r="AG15" i="2130"/>
  <c r="AJ15" i="2130"/>
  <c r="AK15" i="2130"/>
  <c r="AL15" i="2130"/>
  <c r="AO15" i="2130"/>
  <c r="AP15" i="2130"/>
  <c r="AQ15" i="2130"/>
  <c r="AT15" i="2130"/>
  <c r="AU15" i="2130"/>
  <c r="AV15" i="2130"/>
  <c r="AY15" i="2130"/>
  <c r="AZ15" i="2130"/>
  <c r="BA15" i="2130"/>
  <c r="BD15" i="2130"/>
  <c r="BE15" i="2130"/>
  <c r="BF15" i="2130"/>
  <c r="BI15" i="2130"/>
  <c r="BJ15" i="2130"/>
  <c r="BK15" i="2130"/>
  <c r="F16" i="2130"/>
  <c r="G16" i="2130"/>
  <c r="H16" i="2130"/>
  <c r="K16" i="2130"/>
  <c r="L16" i="2130"/>
  <c r="M16" i="2130"/>
  <c r="P16" i="2130"/>
  <c r="Q16" i="2130"/>
  <c r="R16" i="2130"/>
  <c r="U16" i="2130"/>
  <c r="V16" i="2130"/>
  <c r="W16" i="2130"/>
  <c r="Z16" i="2130"/>
  <c r="AA16" i="2130"/>
  <c r="AB16" i="2130"/>
  <c r="AE16" i="2130"/>
  <c r="AF16" i="2130"/>
  <c r="AG16" i="2130"/>
  <c r="AJ16" i="2130"/>
  <c r="AK16" i="2130"/>
  <c r="AL16" i="2130"/>
  <c r="AO16" i="2130"/>
  <c r="AP16" i="2130"/>
  <c r="AQ16" i="2130"/>
  <c r="AT16" i="2130"/>
  <c r="AU16" i="2130"/>
  <c r="AV16" i="2130"/>
  <c r="AY16" i="2130"/>
  <c r="AZ16" i="2130"/>
  <c r="BA16" i="2130"/>
  <c r="BD16" i="2130"/>
  <c r="BE16" i="2130"/>
  <c r="BF16" i="2130"/>
  <c r="BI16" i="2130"/>
  <c r="BJ16" i="2130"/>
  <c r="BK16" i="2130"/>
  <c r="F17" i="2130"/>
  <c r="G17" i="2130"/>
  <c r="H17" i="2130"/>
  <c r="K17" i="2130"/>
  <c r="L17" i="2130"/>
  <c r="M17" i="2130"/>
  <c r="P17" i="2130"/>
  <c r="Q17" i="2130"/>
  <c r="R17" i="2130"/>
  <c r="U17" i="2130"/>
  <c r="V17" i="2130"/>
  <c r="W17" i="2130"/>
  <c r="Z17" i="2130"/>
  <c r="AA17" i="2130"/>
  <c r="AB17" i="2130"/>
  <c r="AE17" i="2130"/>
  <c r="AF17" i="2130"/>
  <c r="AG17" i="2130"/>
  <c r="AJ17" i="2130"/>
  <c r="AK17" i="2130"/>
  <c r="AL17" i="2130"/>
  <c r="AO17" i="2130"/>
  <c r="AP17" i="2130"/>
  <c r="AQ17" i="2130"/>
  <c r="AT17" i="2130"/>
  <c r="AU17" i="2130"/>
  <c r="AV17" i="2130"/>
  <c r="AY17" i="2130"/>
  <c r="AZ17" i="2130"/>
  <c r="BA17" i="2130"/>
  <c r="BD17" i="2130"/>
  <c r="BE17" i="2130"/>
  <c r="BF17" i="2130"/>
  <c r="BI17" i="2130"/>
  <c r="BJ17" i="2130"/>
  <c r="BK17" i="2130"/>
  <c r="F18" i="2130"/>
  <c r="G18" i="2130"/>
  <c r="H18" i="2130"/>
  <c r="K18" i="2130"/>
  <c r="L18" i="2130"/>
  <c r="M18" i="2130"/>
  <c r="P18" i="2130"/>
  <c r="Q18" i="2130"/>
  <c r="R18" i="2130"/>
  <c r="U18" i="2130"/>
  <c r="V18" i="2130"/>
  <c r="W18" i="2130"/>
  <c r="Z18" i="2130"/>
  <c r="AA18" i="2130"/>
  <c r="AB18" i="2130"/>
  <c r="AE18" i="2130"/>
  <c r="AF18" i="2130"/>
  <c r="AG18" i="2130"/>
  <c r="AJ18" i="2130"/>
  <c r="AK18" i="2130"/>
  <c r="AL18" i="2130"/>
  <c r="AO18" i="2130"/>
  <c r="AP18" i="2130"/>
  <c r="AQ18" i="2130"/>
  <c r="AT18" i="2130"/>
  <c r="AU18" i="2130"/>
  <c r="AV18" i="2130"/>
  <c r="AY18" i="2130"/>
  <c r="AZ18" i="2130"/>
  <c r="BA18" i="2130"/>
  <c r="BD18" i="2130"/>
  <c r="BE18" i="2130"/>
  <c r="BF18" i="2130"/>
  <c r="BI18" i="2130"/>
  <c r="BJ18" i="2130"/>
  <c r="BK18" i="2130"/>
  <c r="F19" i="2130"/>
  <c r="G19" i="2130"/>
  <c r="H19" i="2130"/>
  <c r="K19" i="2130"/>
  <c r="L19" i="2130"/>
  <c r="M19" i="2130"/>
  <c r="P19" i="2130"/>
  <c r="Q19" i="2130"/>
  <c r="R19" i="2130"/>
  <c r="U19" i="2130"/>
  <c r="V19" i="2130"/>
  <c r="W19" i="2130"/>
  <c r="Z19" i="2130"/>
  <c r="AA19" i="2130"/>
  <c r="AB19" i="2130"/>
  <c r="AE19" i="2130"/>
  <c r="AF19" i="2130"/>
  <c r="AG19" i="2130"/>
  <c r="AJ19" i="2130"/>
  <c r="AK19" i="2130"/>
  <c r="AL19" i="2130"/>
  <c r="AO19" i="2130"/>
  <c r="AP19" i="2130"/>
  <c r="AQ19" i="2130"/>
  <c r="AT19" i="2130"/>
  <c r="AU19" i="2130"/>
  <c r="AV19" i="2130"/>
  <c r="AY19" i="2130"/>
  <c r="AZ19" i="2130"/>
  <c r="BA19" i="2130"/>
  <c r="BD19" i="2130"/>
  <c r="BE19" i="2130"/>
  <c r="BF19" i="2130"/>
  <c r="BI19" i="2130"/>
  <c r="BJ19" i="2130"/>
  <c r="BK19" i="2130"/>
  <c r="F20" i="2130"/>
  <c r="G20" i="2130"/>
  <c r="H20" i="2130"/>
  <c r="K20" i="2130"/>
  <c r="L20" i="2130"/>
  <c r="M20" i="2130"/>
  <c r="P20" i="2130"/>
  <c r="Q20" i="2130"/>
  <c r="R20" i="2130"/>
  <c r="U20" i="2130"/>
  <c r="V20" i="2130"/>
  <c r="W20" i="2130"/>
  <c r="Z20" i="2130"/>
  <c r="AA20" i="2130"/>
  <c r="AB20" i="2130"/>
  <c r="AE20" i="2130"/>
  <c r="AF20" i="2130"/>
  <c r="AG20" i="2130"/>
  <c r="AJ20" i="2130"/>
  <c r="AK20" i="2130"/>
  <c r="AL20" i="2130"/>
  <c r="AO20" i="2130"/>
  <c r="AP20" i="2130"/>
  <c r="AQ20" i="2130"/>
  <c r="AT20" i="2130"/>
  <c r="AU20" i="2130"/>
  <c r="AV20" i="2130"/>
  <c r="AY20" i="2130"/>
  <c r="AZ20" i="2130"/>
  <c r="BA20" i="2130"/>
  <c r="BD20" i="2130"/>
  <c r="BE20" i="2130"/>
  <c r="BF20" i="2130"/>
  <c r="BI20" i="2130"/>
  <c r="BJ20" i="2130"/>
  <c r="BK20" i="2130"/>
  <c r="F21" i="2130"/>
  <c r="G21" i="2130"/>
  <c r="H21" i="2130"/>
  <c r="K21" i="2130"/>
  <c r="L21" i="2130"/>
  <c r="M21" i="2130"/>
  <c r="P21" i="2130"/>
  <c r="Q21" i="2130"/>
  <c r="R21" i="2130"/>
  <c r="U21" i="2130"/>
  <c r="V21" i="2130"/>
  <c r="W21" i="2130"/>
  <c r="Z21" i="2130"/>
  <c r="AA21" i="2130"/>
  <c r="AB21" i="2130"/>
  <c r="AE21" i="2130"/>
  <c r="AF21" i="2130"/>
  <c r="AG21" i="2130"/>
  <c r="AJ21" i="2130"/>
  <c r="AK21" i="2130"/>
  <c r="AL21" i="2130"/>
  <c r="AO21" i="2130"/>
  <c r="AP21" i="2130"/>
  <c r="AQ21" i="2130"/>
  <c r="AT21" i="2130"/>
  <c r="AU21" i="2130"/>
  <c r="AV21" i="2130"/>
  <c r="AY21" i="2130"/>
  <c r="AZ21" i="2130"/>
  <c r="BA21" i="2130"/>
  <c r="BD21" i="2130"/>
  <c r="BE21" i="2130"/>
  <c r="BF21" i="2130"/>
  <c r="BI21" i="2130"/>
  <c r="BJ21" i="2130"/>
  <c r="BK21" i="2130"/>
  <c r="F22" i="2130"/>
  <c r="G22" i="2130"/>
  <c r="H22" i="2130"/>
  <c r="K22" i="2130"/>
  <c r="L22" i="2130"/>
  <c r="M22" i="2130"/>
  <c r="P22" i="2130"/>
  <c r="Q22" i="2130"/>
  <c r="R22" i="2130"/>
  <c r="U22" i="2130"/>
  <c r="V22" i="2130"/>
  <c r="W22" i="2130"/>
  <c r="Z22" i="2130"/>
  <c r="AA22" i="2130"/>
  <c r="AB22" i="2130"/>
  <c r="AE22" i="2130"/>
  <c r="AF22" i="2130"/>
  <c r="AG22" i="2130"/>
  <c r="AJ22" i="2130"/>
  <c r="AK22" i="2130"/>
  <c r="AL22" i="2130"/>
  <c r="AO22" i="2130"/>
  <c r="AP22" i="2130"/>
  <c r="AQ22" i="2130"/>
  <c r="AT22" i="2130"/>
  <c r="AU22" i="2130"/>
  <c r="AV22" i="2130"/>
  <c r="AY22" i="2130"/>
  <c r="AZ22" i="2130"/>
  <c r="BA22" i="2130"/>
  <c r="BD22" i="2130"/>
  <c r="BE22" i="2130"/>
  <c r="BF22" i="2130"/>
  <c r="BI22" i="2130"/>
  <c r="BJ22" i="2130"/>
  <c r="BK22" i="2130"/>
  <c r="F23" i="2130"/>
  <c r="G23" i="2130"/>
  <c r="H23" i="2130"/>
  <c r="K23" i="2130"/>
  <c r="L23" i="2130"/>
  <c r="M23" i="2130"/>
  <c r="P23" i="2130"/>
  <c r="Q23" i="2130"/>
  <c r="R23" i="2130"/>
  <c r="U23" i="2130"/>
  <c r="V23" i="2130"/>
  <c r="W23" i="2130"/>
  <c r="Z23" i="2130"/>
  <c r="AA23" i="2130"/>
  <c r="AB23" i="2130"/>
  <c r="AE23" i="2130"/>
  <c r="AF23" i="2130"/>
  <c r="AG23" i="2130"/>
  <c r="AJ23" i="2130"/>
  <c r="AK23" i="2130"/>
  <c r="AL23" i="2130"/>
  <c r="AO23" i="2130"/>
  <c r="AP23" i="2130"/>
  <c r="AQ23" i="2130"/>
  <c r="AT23" i="2130"/>
  <c r="AU23" i="2130"/>
  <c r="AV23" i="2130"/>
  <c r="AY23" i="2130"/>
  <c r="AZ23" i="2130"/>
  <c r="BA23" i="2130"/>
  <c r="BD23" i="2130"/>
  <c r="BE23" i="2130"/>
  <c r="BF23" i="2130"/>
  <c r="BI23" i="2130"/>
  <c r="BJ23" i="2130"/>
  <c r="BK23" i="2130"/>
  <c r="F24" i="2130"/>
  <c r="G24" i="2130"/>
  <c r="H24" i="2130"/>
  <c r="K24" i="2130"/>
  <c r="L24" i="2130"/>
  <c r="M24" i="2130"/>
  <c r="P24" i="2130"/>
  <c r="Q24" i="2130"/>
  <c r="R24" i="2130"/>
  <c r="U24" i="2130"/>
  <c r="V24" i="2130"/>
  <c r="W24" i="2130"/>
  <c r="Z24" i="2130"/>
  <c r="AA24" i="2130"/>
  <c r="AB24" i="2130"/>
  <c r="AE24" i="2130"/>
  <c r="AF24" i="2130"/>
  <c r="AG24" i="2130"/>
  <c r="AJ24" i="2130"/>
  <c r="AK24" i="2130"/>
  <c r="AL24" i="2130"/>
  <c r="AO24" i="2130"/>
  <c r="AP24" i="2130"/>
  <c r="AQ24" i="2130"/>
  <c r="AT24" i="2130"/>
  <c r="AU24" i="2130"/>
  <c r="AV24" i="2130"/>
  <c r="AY24" i="2130"/>
  <c r="AZ24" i="2130"/>
  <c r="BA24" i="2130"/>
  <c r="BD24" i="2130"/>
  <c r="BE24" i="2130"/>
  <c r="BF24" i="2130"/>
  <c r="BI24" i="2130"/>
  <c r="BJ24" i="2130"/>
  <c r="BK24" i="2130"/>
  <c r="F25" i="2130"/>
  <c r="G25" i="2130"/>
  <c r="H25" i="2130"/>
  <c r="K25" i="2130"/>
  <c r="L25" i="2130"/>
  <c r="M25" i="2130"/>
  <c r="P25" i="2130"/>
  <c r="Q25" i="2130"/>
  <c r="R25" i="2130"/>
  <c r="U25" i="2130"/>
  <c r="V25" i="2130"/>
  <c r="W25" i="2130"/>
  <c r="Z25" i="2130"/>
  <c r="AA25" i="2130"/>
  <c r="AB25" i="2130"/>
  <c r="AE25" i="2130"/>
  <c r="AF25" i="2130"/>
  <c r="AG25" i="2130"/>
  <c r="AJ25" i="2130"/>
  <c r="AK25" i="2130"/>
  <c r="AL25" i="2130"/>
  <c r="AO25" i="2130"/>
  <c r="AP25" i="2130"/>
  <c r="AQ25" i="2130"/>
  <c r="AT25" i="2130"/>
  <c r="AU25" i="2130"/>
  <c r="AV25" i="2130"/>
  <c r="AY25" i="2130"/>
  <c r="AZ25" i="2130"/>
  <c r="BA25" i="2130"/>
  <c r="BD25" i="2130"/>
  <c r="BE25" i="2130"/>
  <c r="BF25" i="2130"/>
  <c r="BI25" i="2130"/>
  <c r="BJ25" i="2130"/>
  <c r="BK25" i="2130"/>
  <c r="F26" i="2130"/>
  <c r="G26" i="2130"/>
  <c r="H26" i="2130"/>
  <c r="K26" i="2130"/>
  <c r="L26" i="2130"/>
  <c r="M26" i="2130"/>
  <c r="P26" i="2130"/>
  <c r="Q26" i="2130"/>
  <c r="R26" i="2130"/>
  <c r="U26" i="2130"/>
  <c r="V26" i="2130"/>
  <c r="W26" i="2130"/>
  <c r="Z26" i="2130"/>
  <c r="AA26" i="2130"/>
  <c r="AB26" i="2130"/>
  <c r="AE26" i="2130"/>
  <c r="AF26" i="2130"/>
  <c r="AG26" i="2130"/>
  <c r="AJ26" i="2130"/>
  <c r="AK26" i="2130"/>
  <c r="AL26" i="2130"/>
  <c r="AO26" i="2130"/>
  <c r="AP26" i="2130"/>
  <c r="AQ26" i="2130"/>
  <c r="AT26" i="2130"/>
  <c r="AU26" i="2130"/>
  <c r="AV26" i="2130"/>
  <c r="AY26" i="2130"/>
  <c r="AZ26" i="2130"/>
  <c r="BA26" i="2130"/>
  <c r="BD26" i="2130"/>
  <c r="BE26" i="2130"/>
  <c r="BF26" i="2130"/>
  <c r="BI26" i="2130"/>
  <c r="BJ26" i="2130"/>
  <c r="BK26" i="2130"/>
  <c r="F27" i="2130"/>
  <c r="G27" i="2130"/>
  <c r="H27" i="2130"/>
  <c r="K27" i="2130"/>
  <c r="L27" i="2130"/>
  <c r="M27" i="2130"/>
  <c r="P27" i="2130"/>
  <c r="Q27" i="2130"/>
  <c r="R27" i="2130"/>
  <c r="U27" i="2130"/>
  <c r="V27" i="2130"/>
  <c r="W27" i="2130"/>
  <c r="Z27" i="2130"/>
  <c r="AA27" i="2130"/>
  <c r="AB27" i="2130"/>
  <c r="AE27" i="2130"/>
  <c r="AF27" i="2130"/>
  <c r="AG27" i="2130"/>
  <c r="AJ27" i="2130"/>
  <c r="AK27" i="2130"/>
  <c r="AL27" i="2130"/>
  <c r="AO27" i="2130"/>
  <c r="AP27" i="2130"/>
  <c r="AQ27" i="2130"/>
  <c r="AT27" i="2130"/>
  <c r="AU27" i="2130"/>
  <c r="AV27" i="2130"/>
  <c r="AY27" i="2130"/>
  <c r="AZ27" i="2130"/>
  <c r="BA27" i="2130"/>
  <c r="BD27" i="2130"/>
  <c r="BE27" i="2130"/>
  <c r="BF27" i="2130"/>
  <c r="BI27" i="2130"/>
  <c r="BJ27" i="2130"/>
  <c r="BK27" i="2130"/>
  <c r="F28" i="2130"/>
  <c r="G28" i="2130"/>
  <c r="H28" i="2130"/>
  <c r="K28" i="2130"/>
  <c r="L28" i="2130"/>
  <c r="M28" i="2130"/>
  <c r="P28" i="2130"/>
  <c r="Q28" i="2130"/>
  <c r="R28" i="2130"/>
  <c r="U28" i="2130"/>
  <c r="V28" i="2130"/>
  <c r="W28" i="2130"/>
  <c r="Z28" i="2130"/>
  <c r="AA28" i="2130"/>
  <c r="AB28" i="2130"/>
  <c r="AE28" i="2130"/>
  <c r="AF28" i="2130"/>
  <c r="AG28" i="2130"/>
  <c r="AJ28" i="2130"/>
  <c r="AK28" i="2130"/>
  <c r="AL28" i="2130"/>
  <c r="AO28" i="2130"/>
  <c r="AP28" i="2130"/>
  <c r="AQ28" i="2130"/>
  <c r="AT28" i="2130"/>
  <c r="AU28" i="2130"/>
  <c r="AV28" i="2130"/>
  <c r="AY28" i="2130"/>
  <c r="AZ28" i="2130"/>
  <c r="BA28" i="2130"/>
  <c r="BD28" i="2130"/>
  <c r="BE28" i="2130"/>
  <c r="BF28" i="2130"/>
  <c r="BI28" i="2130"/>
  <c r="BJ28" i="2130"/>
  <c r="BK28" i="2130"/>
  <c r="F29" i="2130"/>
  <c r="G29" i="2130"/>
  <c r="H29" i="2130"/>
  <c r="K29" i="2130"/>
  <c r="L29" i="2130"/>
  <c r="M29" i="2130"/>
  <c r="P29" i="2130"/>
  <c r="Q29" i="2130"/>
  <c r="R29" i="2130"/>
  <c r="U29" i="2130"/>
  <c r="V29" i="2130"/>
  <c r="W29" i="2130"/>
  <c r="Z29" i="2130"/>
  <c r="AA29" i="2130"/>
  <c r="AB29" i="2130"/>
  <c r="AE29" i="2130"/>
  <c r="AF29" i="2130"/>
  <c r="AG29" i="2130"/>
  <c r="AJ29" i="2130"/>
  <c r="AK29" i="2130"/>
  <c r="AL29" i="2130"/>
  <c r="AO29" i="2130"/>
  <c r="AP29" i="2130"/>
  <c r="AQ29" i="2130"/>
  <c r="AT29" i="2130"/>
  <c r="AU29" i="2130"/>
  <c r="AV29" i="2130"/>
  <c r="AY29" i="2130"/>
  <c r="AZ29" i="2130"/>
  <c r="BA29" i="2130"/>
  <c r="BD29" i="2130"/>
  <c r="BE29" i="2130"/>
  <c r="BF29" i="2130"/>
  <c r="BI29" i="2130"/>
  <c r="BJ29" i="2130"/>
  <c r="BK29" i="2130"/>
  <c r="F30" i="2130"/>
  <c r="G30" i="2130"/>
  <c r="H30" i="2130"/>
  <c r="K30" i="2130"/>
  <c r="L30" i="2130"/>
  <c r="M30" i="2130"/>
  <c r="P30" i="2130"/>
  <c r="Q30" i="2130"/>
  <c r="R30" i="2130"/>
  <c r="U30" i="2130"/>
  <c r="V30" i="2130"/>
  <c r="W30" i="2130"/>
  <c r="Z30" i="2130"/>
  <c r="AA30" i="2130"/>
  <c r="AB30" i="2130"/>
  <c r="AE30" i="2130"/>
  <c r="AF30" i="2130"/>
  <c r="AG30" i="2130"/>
  <c r="AJ30" i="2130"/>
  <c r="AK30" i="2130"/>
  <c r="AL30" i="2130"/>
  <c r="AO30" i="2130"/>
  <c r="AP30" i="2130"/>
  <c r="AQ30" i="2130"/>
  <c r="AT30" i="2130"/>
  <c r="AU30" i="2130"/>
  <c r="AV30" i="2130"/>
  <c r="AY30" i="2130"/>
  <c r="AZ30" i="2130"/>
  <c r="BA30" i="2130"/>
  <c r="BD30" i="2130"/>
  <c r="BE30" i="2130"/>
  <c r="BF30" i="2130"/>
  <c r="BI30" i="2130"/>
  <c r="BJ30" i="2130"/>
  <c r="BK30" i="2130"/>
  <c r="F31" i="2130"/>
  <c r="G31" i="2130"/>
  <c r="H31" i="2130"/>
  <c r="K31" i="2130"/>
  <c r="L31" i="2130"/>
  <c r="M31" i="2130"/>
  <c r="P31" i="2130"/>
  <c r="Q31" i="2130"/>
  <c r="R31" i="2130"/>
  <c r="U31" i="2130"/>
  <c r="V31" i="2130"/>
  <c r="W31" i="2130"/>
  <c r="Z31" i="2130"/>
  <c r="AA31" i="2130"/>
  <c r="AB31" i="2130"/>
  <c r="AE31" i="2130"/>
  <c r="AF31" i="2130"/>
  <c r="AG31" i="2130"/>
  <c r="AJ31" i="2130"/>
  <c r="AK31" i="2130"/>
  <c r="AL31" i="2130"/>
  <c r="AO31" i="2130"/>
  <c r="AP31" i="2130"/>
  <c r="AQ31" i="2130"/>
  <c r="AT31" i="2130"/>
  <c r="AU31" i="2130"/>
  <c r="AV31" i="2130"/>
  <c r="AY31" i="2130"/>
  <c r="AZ31" i="2130"/>
  <c r="BA31" i="2130"/>
  <c r="BD31" i="2130"/>
  <c r="BE31" i="2130"/>
  <c r="BF31" i="2130"/>
  <c r="BI31" i="2130"/>
  <c r="BJ31" i="2130"/>
  <c r="BK31" i="2130"/>
  <c r="F32" i="2130"/>
  <c r="G32" i="2130"/>
  <c r="H32" i="2130"/>
  <c r="K32" i="2130"/>
  <c r="L32" i="2130"/>
  <c r="M32" i="2130"/>
  <c r="P32" i="2130"/>
  <c r="Q32" i="2130"/>
  <c r="R32" i="2130"/>
  <c r="U32" i="2130"/>
  <c r="V32" i="2130"/>
  <c r="W32" i="2130"/>
  <c r="Z32" i="2130"/>
  <c r="AA32" i="2130"/>
  <c r="AB32" i="2130"/>
  <c r="AE32" i="2130"/>
  <c r="AF32" i="2130"/>
  <c r="AG32" i="2130"/>
  <c r="AJ32" i="2130"/>
  <c r="AK32" i="2130"/>
  <c r="AL32" i="2130"/>
  <c r="AO32" i="2130"/>
  <c r="AP32" i="2130"/>
  <c r="AQ32" i="2130"/>
  <c r="AT32" i="2130"/>
  <c r="AU32" i="2130"/>
  <c r="AV32" i="2130"/>
  <c r="AY32" i="2130"/>
  <c r="AZ32" i="2130"/>
  <c r="BA32" i="2130"/>
  <c r="BD32" i="2130"/>
  <c r="BE32" i="2130"/>
  <c r="BF32" i="2130"/>
  <c r="BI32" i="2130"/>
  <c r="BJ32" i="2130"/>
  <c r="BK32" i="2130"/>
  <c r="F33" i="2130"/>
  <c r="G33" i="2130"/>
  <c r="H33" i="2130"/>
  <c r="K33" i="2130"/>
  <c r="L33" i="2130"/>
  <c r="M33" i="2130"/>
  <c r="P33" i="2130"/>
  <c r="Q33" i="2130"/>
  <c r="R33" i="2130"/>
  <c r="U33" i="2130"/>
  <c r="V33" i="2130"/>
  <c r="W33" i="2130"/>
  <c r="Z33" i="2130"/>
  <c r="AA33" i="2130"/>
  <c r="AB33" i="2130"/>
  <c r="AE33" i="2130"/>
  <c r="AF33" i="2130"/>
  <c r="AG33" i="2130"/>
  <c r="AJ33" i="2130"/>
  <c r="AK33" i="2130"/>
  <c r="AL33" i="2130"/>
  <c r="AO33" i="2130"/>
  <c r="AP33" i="2130"/>
  <c r="AQ33" i="2130"/>
  <c r="AT33" i="2130"/>
  <c r="AU33" i="2130"/>
  <c r="AV33" i="2130"/>
  <c r="AY33" i="2130"/>
  <c r="AZ33" i="2130"/>
  <c r="BA33" i="2130"/>
  <c r="BD33" i="2130"/>
  <c r="BE33" i="2130"/>
  <c r="BF33" i="2130"/>
  <c r="BI33" i="2130"/>
  <c r="BJ33" i="2130"/>
  <c r="BK33" i="2130"/>
  <c r="F34" i="2130"/>
  <c r="G34" i="2130"/>
  <c r="H34" i="2130"/>
  <c r="K34" i="2130"/>
  <c r="L34" i="2130"/>
  <c r="M34" i="2130"/>
  <c r="P34" i="2130"/>
  <c r="Q34" i="2130"/>
  <c r="R34" i="2130"/>
  <c r="U34" i="2130"/>
  <c r="V34" i="2130"/>
  <c r="W34" i="2130"/>
  <c r="Z34" i="2130"/>
  <c r="AA34" i="2130"/>
  <c r="AB34" i="2130"/>
  <c r="AE34" i="2130"/>
  <c r="AF34" i="2130"/>
  <c r="AG34" i="2130"/>
  <c r="AJ34" i="2130"/>
  <c r="AK34" i="2130"/>
  <c r="AL34" i="2130"/>
  <c r="AO34" i="2130"/>
  <c r="AP34" i="2130"/>
  <c r="AQ34" i="2130"/>
  <c r="AT34" i="2130"/>
  <c r="AU34" i="2130"/>
  <c r="AV34" i="2130"/>
  <c r="AY34" i="2130"/>
  <c r="AZ34" i="2130"/>
  <c r="BA34" i="2130"/>
  <c r="BD34" i="2130"/>
  <c r="BE34" i="2130"/>
  <c r="BF34" i="2130"/>
  <c r="BI34" i="2130"/>
  <c r="BJ34" i="2130"/>
  <c r="BK34" i="2130"/>
  <c r="F35" i="2130"/>
  <c r="G35" i="2130"/>
  <c r="H35" i="2130"/>
  <c r="K35" i="2130"/>
  <c r="L35" i="2130"/>
  <c r="M35" i="2130"/>
  <c r="P35" i="2130"/>
  <c r="Q35" i="2130"/>
  <c r="R35" i="2130"/>
  <c r="U35" i="2130"/>
  <c r="V35" i="2130"/>
  <c r="W35" i="2130"/>
  <c r="Z35" i="2130"/>
  <c r="AA35" i="2130"/>
  <c r="AB35" i="2130"/>
  <c r="AE35" i="2130"/>
  <c r="AF35" i="2130"/>
  <c r="AG35" i="2130"/>
  <c r="AJ35" i="2130"/>
  <c r="AK35" i="2130"/>
  <c r="AL35" i="2130"/>
  <c r="AO35" i="2130"/>
  <c r="AP35" i="2130"/>
  <c r="AQ35" i="2130"/>
  <c r="AT35" i="2130"/>
  <c r="AU35" i="2130"/>
  <c r="AV35" i="2130"/>
  <c r="AY35" i="2130"/>
  <c r="AZ35" i="2130"/>
  <c r="BA35" i="2130"/>
  <c r="BD35" i="2130"/>
  <c r="BE35" i="2130"/>
  <c r="BF35" i="2130"/>
  <c r="BI35" i="2130"/>
  <c r="BJ35" i="2130"/>
  <c r="BK35" i="2130"/>
  <c r="F36" i="2130"/>
  <c r="G36" i="2130"/>
  <c r="H36" i="2130"/>
  <c r="K36" i="2130"/>
  <c r="L36" i="2130"/>
  <c r="M36" i="2130"/>
  <c r="P36" i="2130"/>
  <c r="Q36" i="2130"/>
  <c r="R36" i="2130"/>
  <c r="U36" i="2130"/>
  <c r="V36" i="2130"/>
  <c r="W36" i="2130"/>
  <c r="Z36" i="2130"/>
  <c r="AA36" i="2130"/>
  <c r="AB36" i="2130"/>
  <c r="AE36" i="2130"/>
  <c r="AF36" i="2130"/>
  <c r="AG36" i="2130"/>
  <c r="AJ36" i="2130"/>
  <c r="AK36" i="2130"/>
  <c r="AL36" i="2130"/>
  <c r="AO36" i="2130"/>
  <c r="AP36" i="2130"/>
  <c r="AQ36" i="2130"/>
  <c r="AT36" i="2130"/>
  <c r="AU36" i="2130"/>
  <c r="AV36" i="2130"/>
  <c r="AY36" i="2130"/>
  <c r="AZ36" i="2130"/>
  <c r="BA36" i="2130"/>
  <c r="BD36" i="2130"/>
  <c r="BE36" i="2130"/>
  <c r="BF36" i="2130"/>
  <c r="BI36" i="2130"/>
  <c r="BJ36" i="2130"/>
  <c r="BK36" i="2130"/>
  <c r="F37" i="2130"/>
  <c r="G37" i="2130"/>
  <c r="H37" i="2130"/>
  <c r="K37" i="2130"/>
  <c r="L37" i="2130"/>
  <c r="M37" i="2130"/>
  <c r="P37" i="2130"/>
  <c r="Q37" i="2130"/>
  <c r="R37" i="2130"/>
  <c r="U37" i="2130"/>
  <c r="V37" i="2130"/>
  <c r="W37" i="2130"/>
  <c r="Z37" i="2130"/>
  <c r="AA37" i="2130"/>
  <c r="AB37" i="2130"/>
  <c r="AE37" i="2130"/>
  <c r="AF37" i="2130"/>
  <c r="AG37" i="2130"/>
  <c r="AJ37" i="2130"/>
  <c r="AK37" i="2130"/>
  <c r="AL37" i="2130"/>
  <c r="AO37" i="2130"/>
  <c r="AP37" i="2130"/>
  <c r="AQ37" i="2130"/>
  <c r="AT37" i="2130"/>
  <c r="AU37" i="2130"/>
  <c r="AV37" i="2130"/>
  <c r="AY37" i="2130"/>
  <c r="AZ37" i="2130"/>
  <c r="BA37" i="2130"/>
  <c r="BD37" i="2130"/>
  <c r="BE37" i="2130"/>
  <c r="BF37" i="2130"/>
  <c r="BI37" i="2130"/>
  <c r="BJ37" i="2130"/>
  <c r="BK37" i="2130"/>
  <c r="F38" i="2130"/>
  <c r="G38" i="2130"/>
  <c r="H38" i="2130"/>
  <c r="K38" i="2130"/>
  <c r="L38" i="2130"/>
  <c r="M38" i="2130"/>
  <c r="P38" i="2130"/>
  <c r="Q38" i="2130"/>
  <c r="R38" i="2130"/>
  <c r="U38" i="2130"/>
  <c r="V38" i="2130"/>
  <c r="W38" i="2130"/>
  <c r="Z38" i="2130"/>
  <c r="AA38" i="2130"/>
  <c r="AB38" i="2130"/>
  <c r="AE38" i="2130"/>
  <c r="AF38" i="2130"/>
  <c r="AG38" i="2130"/>
  <c r="AJ38" i="2130"/>
  <c r="AK38" i="2130"/>
  <c r="AL38" i="2130"/>
  <c r="AO38" i="2130"/>
  <c r="AP38" i="2130"/>
  <c r="AQ38" i="2130"/>
  <c r="AT38" i="2130"/>
  <c r="AU38" i="2130"/>
  <c r="AV38" i="2130"/>
  <c r="AY38" i="2130"/>
  <c r="AZ38" i="2130"/>
  <c r="BA38" i="2130"/>
  <c r="BD38" i="2130"/>
  <c r="BE38" i="2130"/>
  <c r="BF38" i="2130"/>
  <c r="BI38" i="2130"/>
  <c r="BJ38" i="2130"/>
  <c r="BK38" i="2130"/>
  <c r="F39" i="2130"/>
  <c r="G39" i="2130"/>
  <c r="H39" i="2130"/>
  <c r="K39" i="2130"/>
  <c r="L39" i="2130"/>
  <c r="M39" i="2130"/>
  <c r="P39" i="2130"/>
  <c r="Q39" i="2130"/>
  <c r="R39" i="2130"/>
  <c r="U39" i="2130"/>
  <c r="V39" i="2130"/>
  <c r="W39" i="2130"/>
  <c r="Z39" i="2130"/>
  <c r="AA39" i="2130"/>
  <c r="AB39" i="2130"/>
  <c r="AE39" i="2130"/>
  <c r="AF39" i="2130"/>
  <c r="AG39" i="2130"/>
  <c r="AJ39" i="2130"/>
  <c r="AK39" i="2130"/>
  <c r="AL39" i="2130"/>
  <c r="AO39" i="2130"/>
  <c r="AP39" i="2130"/>
  <c r="AQ39" i="2130"/>
  <c r="AT39" i="2130"/>
  <c r="AU39" i="2130"/>
  <c r="AV39" i="2130"/>
  <c r="AY39" i="2130"/>
  <c r="AZ39" i="2130"/>
  <c r="BA39" i="2130"/>
  <c r="BD39" i="2130"/>
  <c r="BE39" i="2130"/>
  <c r="BF39" i="2130"/>
  <c r="BI39" i="2130"/>
  <c r="BJ39" i="2130"/>
  <c r="BK39" i="2130"/>
  <c r="F40" i="2130"/>
  <c r="G40" i="2130"/>
  <c r="H40" i="2130"/>
  <c r="K40" i="2130"/>
  <c r="L40" i="2130"/>
  <c r="M40" i="2130"/>
  <c r="P40" i="2130"/>
  <c r="Q40" i="2130"/>
  <c r="R40" i="2130"/>
  <c r="U40" i="2130"/>
  <c r="V40" i="2130"/>
  <c r="W40" i="2130"/>
  <c r="Z40" i="2130"/>
  <c r="AA40" i="2130"/>
  <c r="AB40" i="2130"/>
  <c r="AE40" i="2130"/>
  <c r="AF40" i="2130"/>
  <c r="AG40" i="2130"/>
  <c r="AJ40" i="2130"/>
  <c r="AK40" i="2130"/>
  <c r="AL40" i="2130"/>
  <c r="AO40" i="2130"/>
  <c r="AP40" i="2130"/>
  <c r="AQ40" i="2130"/>
  <c r="AT40" i="2130"/>
  <c r="AU40" i="2130"/>
  <c r="AV40" i="2130"/>
  <c r="AY40" i="2130"/>
  <c r="AZ40" i="2130"/>
  <c r="BA40" i="2130"/>
  <c r="BD40" i="2130"/>
  <c r="BE40" i="2130"/>
  <c r="BF40" i="2130"/>
  <c r="BI40" i="2130"/>
  <c r="BJ40" i="2130"/>
  <c r="BK40" i="2130"/>
  <c r="F41" i="2130"/>
  <c r="G41" i="2130"/>
  <c r="H41" i="2130"/>
  <c r="K41" i="2130"/>
  <c r="L41" i="2130"/>
  <c r="M41" i="2130"/>
  <c r="P41" i="2130"/>
  <c r="Q41" i="2130"/>
  <c r="R41" i="2130"/>
  <c r="U41" i="2130"/>
  <c r="V41" i="2130"/>
  <c r="W41" i="2130"/>
  <c r="Z41" i="2130"/>
  <c r="AA41" i="2130"/>
  <c r="AB41" i="2130"/>
  <c r="AE41" i="2130"/>
  <c r="AF41" i="2130"/>
  <c r="AG41" i="2130"/>
  <c r="AJ41" i="2130"/>
  <c r="AK41" i="2130"/>
  <c r="AL41" i="2130"/>
  <c r="AO41" i="2130"/>
  <c r="AP41" i="2130"/>
  <c r="AQ41" i="2130"/>
  <c r="AT41" i="2130"/>
  <c r="AU41" i="2130"/>
  <c r="AV41" i="2130"/>
  <c r="AY41" i="2130"/>
  <c r="AZ41" i="2130"/>
  <c r="BA41" i="2130"/>
  <c r="BD41" i="2130"/>
  <c r="BE41" i="2130"/>
  <c r="BF41" i="2130"/>
  <c r="BI41" i="2130"/>
  <c r="BJ41" i="2130"/>
  <c r="BK41" i="2130"/>
  <c r="F42" i="2130"/>
  <c r="G42" i="2130"/>
  <c r="H42" i="2130"/>
  <c r="K42" i="2130"/>
  <c r="L42" i="2130"/>
  <c r="M42" i="2130"/>
  <c r="P42" i="2130"/>
  <c r="Q42" i="2130"/>
  <c r="R42" i="2130"/>
  <c r="U42" i="2130"/>
  <c r="V42" i="2130"/>
  <c r="W42" i="2130"/>
  <c r="Z42" i="2130"/>
  <c r="AA42" i="2130"/>
  <c r="AB42" i="2130"/>
  <c r="AE42" i="2130"/>
  <c r="AF42" i="2130"/>
  <c r="AG42" i="2130"/>
  <c r="AJ42" i="2130"/>
  <c r="AK42" i="2130"/>
  <c r="AL42" i="2130"/>
  <c r="AO42" i="2130"/>
  <c r="AP42" i="2130"/>
  <c r="AQ42" i="2130"/>
  <c r="AT42" i="2130"/>
  <c r="AU42" i="2130"/>
  <c r="AV42" i="2130"/>
  <c r="AY42" i="2130"/>
  <c r="AZ42" i="2130"/>
  <c r="BA42" i="2130"/>
  <c r="BD42" i="2130"/>
  <c r="BE42" i="2130"/>
  <c r="BF42" i="2130"/>
  <c r="BI42" i="2130"/>
  <c r="BJ42" i="2130"/>
  <c r="BK42" i="2130"/>
  <c r="F43" i="2130"/>
  <c r="G43" i="2130"/>
  <c r="H43" i="2130"/>
  <c r="K43" i="2130"/>
  <c r="L43" i="2130"/>
  <c r="M43" i="2130"/>
  <c r="P43" i="2130"/>
  <c r="Q43" i="2130"/>
  <c r="R43" i="2130"/>
  <c r="U43" i="2130"/>
  <c r="V43" i="2130"/>
  <c r="W43" i="2130"/>
  <c r="Z43" i="2130"/>
  <c r="AA43" i="2130"/>
  <c r="AB43" i="2130"/>
  <c r="AE43" i="2130"/>
  <c r="AF43" i="2130"/>
  <c r="AG43" i="2130"/>
  <c r="AJ43" i="2130"/>
  <c r="AK43" i="2130"/>
  <c r="AL43" i="2130"/>
  <c r="AO43" i="2130"/>
  <c r="AP43" i="2130"/>
  <c r="AQ43" i="2130"/>
  <c r="AT43" i="2130"/>
  <c r="AU43" i="2130"/>
  <c r="AV43" i="2130"/>
  <c r="AY43" i="2130"/>
  <c r="AZ43" i="2130"/>
  <c r="BA43" i="2130"/>
  <c r="BD43" i="2130"/>
  <c r="BE43" i="2130"/>
  <c r="BF43" i="2130"/>
  <c r="BI43" i="2130"/>
  <c r="BJ43" i="2130"/>
  <c r="BK43" i="2130"/>
  <c r="F44" i="2130"/>
  <c r="G44" i="2130"/>
  <c r="H44" i="2130"/>
  <c r="K44" i="2130"/>
  <c r="L44" i="2130"/>
  <c r="M44" i="2130"/>
  <c r="P44" i="2130"/>
  <c r="Q44" i="2130"/>
  <c r="R44" i="2130"/>
  <c r="U44" i="2130"/>
  <c r="V44" i="2130"/>
  <c r="W44" i="2130"/>
  <c r="Z44" i="2130"/>
  <c r="AA44" i="2130"/>
  <c r="AB44" i="2130"/>
  <c r="AE44" i="2130"/>
  <c r="AF44" i="2130"/>
  <c r="AG44" i="2130"/>
  <c r="AJ44" i="2130"/>
  <c r="AK44" i="2130"/>
  <c r="AL44" i="2130"/>
  <c r="AO44" i="2130"/>
  <c r="AP44" i="2130"/>
  <c r="AQ44" i="2130"/>
  <c r="AT44" i="2130"/>
  <c r="AU44" i="2130"/>
  <c r="AV44" i="2130"/>
  <c r="AY44" i="2130"/>
  <c r="AZ44" i="2130"/>
  <c r="BA44" i="2130"/>
  <c r="BD44" i="2130"/>
  <c r="BE44" i="2130"/>
  <c r="BF44" i="2130"/>
  <c r="BI44" i="2130"/>
  <c r="BJ44" i="2130"/>
  <c r="BK44" i="2130"/>
  <c r="F45" i="2130"/>
  <c r="G45" i="2130"/>
  <c r="H45" i="2130"/>
  <c r="K45" i="2130"/>
  <c r="L45" i="2130"/>
  <c r="M45" i="2130"/>
  <c r="P45" i="2130"/>
  <c r="Q45" i="2130"/>
  <c r="R45" i="2130"/>
  <c r="U45" i="2130"/>
  <c r="V45" i="2130"/>
  <c r="W45" i="2130"/>
  <c r="Z45" i="2130"/>
  <c r="AA45" i="2130"/>
  <c r="AB45" i="2130"/>
  <c r="AE45" i="2130"/>
  <c r="AF45" i="2130"/>
  <c r="AG45" i="2130"/>
  <c r="AJ45" i="2130"/>
  <c r="AK45" i="2130"/>
  <c r="AL45" i="2130"/>
  <c r="AO45" i="2130"/>
  <c r="AP45" i="2130"/>
  <c r="AQ45" i="2130"/>
  <c r="AT45" i="2130"/>
  <c r="AU45" i="2130"/>
  <c r="AV45" i="2130"/>
  <c r="AY45" i="2130"/>
  <c r="AZ45" i="2130"/>
  <c r="BA45" i="2130"/>
  <c r="BD45" i="2130"/>
  <c r="BE45" i="2130"/>
  <c r="BF45" i="2130"/>
  <c r="BI45" i="2130"/>
  <c r="BJ45" i="2130"/>
  <c r="BK45" i="2130"/>
  <c r="F46" i="2130"/>
  <c r="G46" i="2130"/>
  <c r="H46" i="2130"/>
  <c r="K46" i="2130"/>
  <c r="L46" i="2130"/>
  <c r="M46" i="2130"/>
  <c r="P46" i="2130"/>
  <c r="Q46" i="2130"/>
  <c r="R46" i="2130"/>
  <c r="U46" i="2130"/>
  <c r="V46" i="2130"/>
  <c r="W46" i="2130"/>
  <c r="Z46" i="2130"/>
  <c r="AA46" i="2130"/>
  <c r="AB46" i="2130"/>
  <c r="AE46" i="2130"/>
  <c r="AF46" i="2130"/>
  <c r="AG46" i="2130"/>
  <c r="AJ46" i="2130"/>
  <c r="AK46" i="2130"/>
  <c r="AL46" i="2130"/>
  <c r="AO46" i="2130"/>
  <c r="AP46" i="2130"/>
  <c r="AQ46" i="2130"/>
  <c r="AT46" i="2130"/>
  <c r="AU46" i="2130"/>
  <c r="AV46" i="2130"/>
  <c r="AY46" i="2130"/>
  <c r="AZ46" i="2130"/>
  <c r="BA46" i="2130"/>
  <c r="BD46" i="2130"/>
  <c r="BE46" i="2130"/>
  <c r="BF46" i="2130"/>
  <c r="BI46" i="2130"/>
  <c r="BJ46" i="2130"/>
  <c r="BK46" i="2130"/>
  <c r="F47" i="2130"/>
  <c r="G47" i="2130"/>
  <c r="H47" i="2130"/>
  <c r="K47" i="2130"/>
  <c r="L47" i="2130"/>
  <c r="M47" i="2130"/>
  <c r="P47" i="2130"/>
  <c r="Q47" i="2130"/>
  <c r="R47" i="2130"/>
  <c r="U47" i="2130"/>
  <c r="V47" i="2130"/>
  <c r="W47" i="2130"/>
  <c r="Z47" i="2130"/>
  <c r="AA47" i="2130"/>
  <c r="AB47" i="2130"/>
  <c r="AE47" i="2130"/>
  <c r="AF47" i="2130"/>
  <c r="AG47" i="2130"/>
  <c r="AJ47" i="2130"/>
  <c r="AK47" i="2130"/>
  <c r="AL47" i="2130"/>
  <c r="AO47" i="2130"/>
  <c r="AP47" i="2130"/>
  <c r="AQ47" i="2130"/>
  <c r="AT47" i="2130"/>
  <c r="AU47" i="2130"/>
  <c r="AV47" i="2130"/>
  <c r="AY47" i="2130"/>
  <c r="AZ47" i="2130"/>
  <c r="BA47" i="2130"/>
  <c r="BD47" i="2130"/>
  <c r="BE47" i="2130"/>
  <c r="BF47" i="2130"/>
  <c r="BI47" i="2130"/>
  <c r="BJ47" i="2130"/>
  <c r="BK47" i="2130"/>
  <c r="F48" i="2130"/>
  <c r="G48" i="2130"/>
  <c r="H48" i="2130"/>
  <c r="K48" i="2130"/>
  <c r="L48" i="2130"/>
  <c r="M48" i="2130"/>
  <c r="P48" i="2130"/>
  <c r="Q48" i="2130"/>
  <c r="R48" i="2130"/>
  <c r="U48" i="2130"/>
  <c r="V48" i="2130"/>
  <c r="W48" i="2130"/>
  <c r="Z48" i="2130"/>
  <c r="AA48" i="2130"/>
  <c r="AB48" i="2130"/>
  <c r="AE48" i="2130"/>
  <c r="AF48" i="2130"/>
  <c r="AG48" i="2130"/>
  <c r="AJ48" i="2130"/>
  <c r="AK48" i="2130"/>
  <c r="AL48" i="2130"/>
  <c r="AO48" i="2130"/>
  <c r="AP48" i="2130"/>
  <c r="AQ48" i="2130"/>
  <c r="AT48" i="2130"/>
  <c r="AU48" i="2130"/>
  <c r="AV48" i="2130"/>
  <c r="AY48" i="2130"/>
  <c r="AZ48" i="2130"/>
  <c r="BA48" i="2130"/>
  <c r="BD48" i="2130"/>
  <c r="BE48" i="2130"/>
  <c r="BF48" i="2130"/>
  <c r="BI48" i="2130"/>
  <c r="BJ48" i="2130"/>
  <c r="BK48" i="2130"/>
  <c r="F49" i="2130"/>
  <c r="G49" i="2130"/>
  <c r="H49" i="2130"/>
  <c r="K49" i="2130"/>
  <c r="L49" i="2130"/>
  <c r="M49" i="2130"/>
  <c r="P49" i="2130"/>
  <c r="Q49" i="2130"/>
  <c r="R49" i="2130"/>
  <c r="U49" i="2130"/>
  <c r="V49" i="2130"/>
  <c r="W49" i="2130"/>
  <c r="Z49" i="2130"/>
  <c r="AA49" i="2130"/>
  <c r="AB49" i="2130"/>
  <c r="AE49" i="2130"/>
  <c r="AF49" i="2130"/>
  <c r="AG49" i="2130"/>
  <c r="AJ49" i="2130"/>
  <c r="AK49" i="2130"/>
  <c r="AL49" i="2130"/>
  <c r="AO49" i="2130"/>
  <c r="AP49" i="2130"/>
  <c r="AQ49" i="2130"/>
  <c r="AT49" i="2130"/>
  <c r="AU49" i="2130"/>
  <c r="AV49" i="2130"/>
  <c r="AY49" i="2130"/>
  <c r="AZ49" i="2130"/>
  <c r="BA49" i="2130"/>
  <c r="BD49" i="2130"/>
  <c r="BE49" i="2130"/>
  <c r="BF49" i="2130"/>
  <c r="BI49" i="2130"/>
  <c r="BJ49" i="2130"/>
  <c r="BK49" i="21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7" authorId="0" shapeId="0" xr:uid="{3344D290-3822-4580-BB0D-412BE0C3A68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G9" authorId="0" shapeId="0" xr:uid="{ECDA4FBF-CB78-4F82-A02A-C1F83F5772A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J10" authorId="0" shapeId="0" xr:uid="{D28933E1-5F5F-456A-8355-6510C408480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10" authorId="0" shapeId="0" xr:uid="{8748D1FF-7911-4478-806E-1DFE801DBD9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F11" authorId="0" shapeId="0" xr:uid="{7A5CBC2E-325A-4AAA-888D-380E6688382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3" authorId="0" shapeId="0" xr:uid="{B415F714-4F17-48CB-A366-876C4923589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4" authorId="0" shapeId="0" xr:uid="{883FBCDD-7DDC-483E-95C1-41DCD592DBC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E6CD5081-D8B9-44D8-84F0-2143830C66D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AQ16" authorId="0" shapeId="0" xr:uid="{843FF0D2-40FB-4D8F-9331-CD1FD502045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152 recebeu uma bandeira Preta/Branca na passagem de nº 13 por conduta antidesportiva frente ao n° 156 na curva 2
De: claudio alvarenga &lt;claudioalvarengarep@yahoo.com.br&gt;
Enviada em: terça-feira, 13 de outubro de 2026 17:49
Para: jarbas@viakart.com.br
Assunto: Assunto: Recurso de punição
Srs. Boa tarde! A menos que novos fatos sejam apresentados, após análise, a penalização deve ser retirada.
Att. Cláudio Alvarenga </t>
        </r>
      </text>
    </comment>
    <comment ref="S18" authorId="0" shapeId="0" xr:uid="{47BDED6F-2301-44E1-ADAE-F5781C61956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  <comment ref="O20" authorId="0" shapeId="0" xr:uid="{21B5A8E1-F2DE-430A-95A8-9D22E5EA094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AQ20" authorId="0" shapeId="0" xr:uid="{30877C79-6412-423A-BAA2-127F329C316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104 recebeu uma bandeira Preta/Branca na passagem de nº 29 por conduta antidesportiva frente ao n° 136 na curva 1</t>
        </r>
      </text>
    </comment>
    <comment ref="W21" authorId="0" shapeId="0" xr:uid="{EC6F4539-DDCF-4FB9-93C6-CA282628CF6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J5" authorId="0" shapeId="0" xr:uid="{E787E520-9153-4A54-91CC-42A7BCBFD1A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5" authorId="0" shapeId="0" xr:uid="{5FC247DA-1E0C-4693-93C8-9222B35CA20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AQ6" authorId="0" shapeId="0" xr:uid="{639653B9-D8E2-44DC-8CD4-7A6E30470E8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152 recebeu uma bandeira Preta/Branca na passagem de nº 13 por conduta antidesportiva frente ao n° 156 na curva 2
De: claudio alvarenga &lt;claudioalvarengarep@yahoo.com.br&gt;
Enviada em: terça-feira, 13 de outubro de 2026 17:49
Para: jarbas@viakart.com.br
Assunto: Assunto: Recurso de punição
Srs. Boa tarde! A menos que novos fatos sejam apresentados, após análise, a penalização deve ser retirada.
Att. Cláudio Alvarenga </t>
        </r>
      </text>
    </comment>
    <comment ref="G8" authorId="0" shapeId="0" xr:uid="{A40CB17F-E223-4B92-8781-A243EEB77D4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F9" authorId="0" shapeId="0" xr:uid="{109BD325-9281-48FB-9848-ADA609BA44E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O10" authorId="0" shapeId="0" xr:uid="{20BEC06E-7D04-400B-AE05-EABCDA6555C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AQ10" authorId="0" shapeId="0" xr:uid="{D6C7A183-B52A-4F61-91ED-FE1EF2D4AAE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104 recebeu uma bandeira Preta/Branca na passagem de nº 29 por conduta antidesportiva frente ao n° 136 na curva 1</t>
        </r>
      </text>
    </comment>
    <comment ref="AA11" authorId="0" shapeId="0" xr:uid="{890D6029-D9DC-4AAF-BD36-60C903A10F4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2" authorId="0" shapeId="0" xr:uid="{362CFE6B-BC5B-48FE-ABE4-0511D6B16C8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W13" authorId="0" shapeId="0" xr:uid="{96101117-E8C2-4219-AC17-23B06ED1AFC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  <comment ref="G14" authorId="0" shapeId="0" xr:uid="{1FCF5954-13FB-4E87-B7ED-40464C3B6DB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060C0B77-152B-45C5-8148-36543032541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S18" authorId="0" shapeId="0" xr:uid="{80750835-63F5-4784-AF5A-27C487D3777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</commentList>
</comments>
</file>

<file path=xl/sharedStrings.xml><?xml version="1.0" encoding="utf-8"?>
<sst xmlns="http://schemas.openxmlformats.org/spreadsheetml/2006/main" count="4132" uniqueCount="145">
  <si>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</si>
  <si>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</si>
  <si>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</si>
  <si>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</si>
  <si>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</si>
  <si>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</si>
  <si>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</si>
  <si>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</si>
  <si>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</si>
  <si>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</si>
  <si>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</si>
  <si>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</si>
  <si>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</si>
  <si>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</si>
  <si>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</si>
  <si>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</si>
  <si>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</si>
  <si>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</si>
  <si>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</si>
  <si>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</si>
  <si>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</si>
  <si>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</si>
  <si>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</si>
  <si>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</si>
  <si>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</si>
  <si>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</si>
  <si>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</si>
  <si>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</si>
  <si>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</si>
  <si>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</si>
  <si>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</si>
  <si>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</si>
  <si>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</si>
  <si>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</si>
  <si>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</si>
  <si>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</si>
  <si>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</si>
  <si>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</si>
  <si>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</si>
  <si>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</si>
  <si>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</si>
  <si>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</si>
  <si>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</si>
  <si>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</si>
  <si>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</si>
  <si>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</si>
  <si>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</si>
  <si>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</si>
  <si>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</si>
  <si>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</si>
  <si>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</si>
  <si>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</si>
  <si>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</si>
  <si>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</si>
  <si>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</si>
  <si>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</si>
  <si>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</si>
  <si>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</si>
  <si>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</si>
  <si>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</si>
  <si>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</si>
  <si>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</si>
  <si>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</si>
  <si>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</si>
  <si>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</si>
  <si>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</si>
  <si>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</si>
  <si>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</si>
  <si>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</si>
  <si>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</si>
  <si>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</si>
  <si>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</si>
  <si>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</si>
  <si>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</si>
  <si>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</si>
  <si>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</si>
  <si>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</si>
  <si>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</si>
  <si>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</si>
  <si>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</si>
  <si>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</si>
  <si>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</si>
  <si>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Leodegario Junior</t>
  </si>
  <si>
    <t>Ivan Renault</t>
  </si>
  <si>
    <t>Hugo Fabian</t>
  </si>
  <si>
    <t xml:space="preserve">Gijo </t>
  </si>
  <si>
    <t xml:space="preserve">Chalmmers </t>
  </si>
  <si>
    <t>Adriano Morato</t>
  </si>
  <si>
    <t>Jorge Prado</t>
  </si>
  <si>
    <t>Eduardo Vitol</t>
  </si>
  <si>
    <t xml:space="preserve">Morvan </t>
  </si>
  <si>
    <t>Sérgio Done</t>
  </si>
  <si>
    <t>Cláudio Glória</t>
  </si>
  <si>
    <t>Remy Gp</t>
  </si>
  <si>
    <t>X</t>
  </si>
  <si>
    <t>Aparecido Arantes</t>
  </si>
  <si>
    <t>Túlio Borges</t>
  </si>
  <si>
    <t>Hélio Chagas</t>
  </si>
  <si>
    <t>Luiz Otávio</t>
  </si>
  <si>
    <t>OK</t>
  </si>
  <si>
    <t>TROCA</t>
  </si>
  <si>
    <t>ok</t>
  </si>
  <si>
    <t>SIM</t>
  </si>
  <si>
    <t>Michel Abouud</t>
  </si>
  <si>
    <t>Leonardo Antunes</t>
  </si>
  <si>
    <t>0*</t>
  </si>
  <si>
    <t>9*</t>
  </si>
  <si>
    <t>8*</t>
  </si>
  <si>
    <t>6*</t>
  </si>
  <si>
    <t>3*</t>
  </si>
  <si>
    <t>ATUALIZADA EM: 24/10/26 21:49:20</t>
  </si>
  <si>
    <t>Sem informação</t>
  </si>
  <si>
    <t>michel 78</t>
  </si>
  <si>
    <t>jucimar 97</t>
  </si>
  <si>
    <t>jorge prado 91</t>
  </si>
  <si>
    <t>4 X 5kg + 1 X 2,5kg = 22,5kg</t>
  </si>
  <si>
    <t>Túlio Borges              Pendente</t>
  </si>
  <si>
    <t>Leodegario Junior              Pendente</t>
  </si>
  <si>
    <t>Adriano Morato              Pendente</t>
  </si>
  <si>
    <t>Leonardo Antunes              Pendente</t>
  </si>
  <si>
    <t>Morvan               Pendente</t>
  </si>
  <si>
    <t>2 X 5kg + 1 X 2,5kg = 12,5kg</t>
  </si>
  <si>
    <t>Remy Gp              Pendente</t>
  </si>
  <si>
    <t>Hugo Fabian              Pendente</t>
  </si>
  <si>
    <t>1 X 5kg + 1 X 2,5kg = 7,5kg</t>
  </si>
  <si>
    <t>Cláudio Glória              Pendente</t>
  </si>
  <si>
    <t>Ivan Renault              Pendente</t>
  </si>
  <si>
    <t>Gijo               Pendente</t>
  </si>
  <si>
    <t>Luiz Otávio              Pendente</t>
  </si>
  <si>
    <t>5 X 5kg = 25kg</t>
  </si>
  <si>
    <t>Aparecido Arantes              Pendente</t>
  </si>
  <si>
    <t>1 X 5kg = 5kg</t>
  </si>
  <si>
    <t>Eduardo Vitol              Pendente</t>
  </si>
  <si>
    <t>Hélio Chagas              Pendente</t>
  </si>
  <si>
    <t>Michel Abouud              Pendente</t>
  </si>
  <si>
    <t>Chalmmers               Pendente</t>
  </si>
  <si>
    <t>2 X 5kg = 10kg</t>
  </si>
  <si>
    <t>Jorge Prado              Pendente</t>
  </si>
  <si>
    <t>Sérgio Done              Pendente</t>
  </si>
  <si>
    <t>LASTRO</t>
  </si>
  <si>
    <t>PESO</t>
  </si>
  <si>
    <t>KART</t>
  </si>
  <si>
    <t>POS.</t>
  </si>
  <si>
    <t xml:space="preserve">ATUALIZADO = </t>
  </si>
  <si>
    <t>LARGADA 11ª ETAPA - SUPER MASTER 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</si>
</sst>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6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8" fillId="55" borderId="9" xfId="0" applyFont="1" applyFill="1" applyBorder="1" applyAlignment="1">
      <alignment horizontal="left" vertical="center"/>
    </xf>
    <xf numFmtId="0" fontId="21" fillId="0" borderId="0" xfId="0" applyFont="1" applyAlignment="1">
      <alignment horizontal="center"/>
    </xf>
    <xf numFmtId="0" fontId="0" fillId="0" borderId="0" xfId="0" applyAlignment="1">
      <alignment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/>
    <xf numFmtId="0" fontId="23" fillId="0" borderId="0" xfId="0" applyFont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3" fillId="0" borderId="42" xfId="0" applyFont="1" applyBorder="1" applyAlignment="1">
      <alignment horizontal="left" vertical="center" wrapText="1"/>
    </xf>
    <xf numFmtId="0" fontId="23" fillId="0" borderId="43" xfId="0" quotePrefix="1" applyFont="1" applyBorder="1" applyAlignment="1">
      <alignment horizontal="center" vertical="center" wrapText="1"/>
    </xf>
    <xf numFmtId="0" fontId="23" fillId="0" borderId="44" xfId="0" quotePrefix="1" applyFont="1" applyBorder="1" applyAlignment="1">
      <alignment vertical="center" wrapText="1"/>
    </xf>
    <xf numFmtId="0" fontId="23" fillId="0" borderId="45" xfId="0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7" fillId="0" borderId="0" xfId="0" applyFont="1"/>
    <xf numFmtId="0" fontId="28" fillId="11" borderId="42" xfId="0" applyFont="1" applyFill="1" applyBorder="1" applyAlignment="1">
      <alignment horizontal="center" vertical="center" wrapText="1"/>
    </xf>
    <xf numFmtId="0" fontId="28" fillId="11" borderId="43" xfId="0" quotePrefix="1" applyFont="1" applyFill="1" applyBorder="1" applyAlignment="1">
      <alignment horizontal="center" vertical="center" wrapText="1"/>
    </xf>
    <xf numFmtId="0" fontId="28" fillId="11" borderId="44" xfId="0" quotePrefix="1" applyFont="1" applyFill="1" applyBorder="1" applyAlignment="1">
      <alignment horizontal="center" vertical="center" wrapText="1"/>
    </xf>
    <xf numFmtId="0" fontId="28" fillId="11" borderId="45" xfId="0" applyFont="1" applyFill="1" applyBorder="1" applyAlignment="1">
      <alignment horizontal="center" vertical="center"/>
    </xf>
    <xf numFmtId="0" fontId="28" fillId="11" borderId="46" xfId="0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165" fontId="28" fillId="11" borderId="47" xfId="0" quotePrefix="1" applyNumberFormat="1" applyFont="1" applyFill="1" applyBorder="1" applyAlignment="1">
      <alignment horizontal="left" vertical="center" wrapText="1"/>
    </xf>
    <xf numFmtId="0" fontId="28" fillId="11" borderId="43" xfId="0" quotePrefix="1" applyFont="1" applyFill="1" applyBorder="1" applyAlignment="1">
      <alignment vertical="center" wrapText="1"/>
    </xf>
    <xf numFmtId="0" fontId="28" fillId="11" borderId="45" xfId="0" quotePrefix="1" applyFont="1" applyFill="1" applyBorder="1" applyAlignment="1">
      <alignment horizontal="left" vertical="center" wrapText="1" indent="8"/>
    </xf>
    <xf numFmtId="0" fontId="28" fillId="11" borderId="43" xfId="0" quotePrefix="1" applyFont="1" applyFill="1" applyBorder="1" applyAlignment="1">
      <alignment horizontal="left" vertical="center" wrapText="1" indent="8"/>
    </xf>
    <xf numFmtId="0" fontId="26" fillId="0" borderId="41" xfId="0" applyFont="1" applyBorder="1" applyAlignment="1">
      <alignment horizontal="center" wrapText="1"/>
    </xf>
    <xf numFmtId="0" fontId="26" fillId="0" borderId="40" xfId="0" applyFont="1" applyBorder="1" applyAlignment="1">
      <alignment horizontal="center"/>
    </xf>
    <xf numFmtId="0" fontId="26" fillId="0" borderId="39" xfId="0" applyFont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7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00865" name="Button 1" descr="COPIAR DADOS PILOTO P RETIRADA DO TEMPO" hidden="1">
              <a:extLst>
                <a:ext uri="{63B3BB69-23CF-44E3-9099-C40C66FF867C}">
                  <a14:compatExt spid="_x0000_s1700865"/>
                </a:ext>
                <a:ext uri="{FF2B5EF4-FFF2-40B4-BE49-F238E27FC236}">
                  <a16:creationId xmlns:a16="http://schemas.microsoft.com/office/drawing/2014/main" id="{00000000-0008-0000-0100-000001F4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01902" name="Button 2" descr="COPIAR DADOS PILOTO P RETIRADA DO TEMPO" hidden="1">
              <a:extLst>
                <a:ext uri="{63B3BB69-23CF-44E3-9099-C40C66FF867C}">
                  <a14:compatExt spid="_x0000_s1701902"/>
                </a:ext>
                <a:ext uri="{FF2B5EF4-FFF2-40B4-BE49-F238E27FC236}">
                  <a16:creationId xmlns:a16="http://schemas.microsoft.com/office/drawing/2014/main" id="{00000000-0008-0000-0200-00000EF8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03937" name="Button 9" hidden="1">
              <a:extLst>
                <a:ext uri="{63B3BB69-23CF-44E3-9099-C40C66FF867C}">
                  <a14:compatExt spid="_x0000_s1703937"/>
                </a:ext>
                <a:ext uri="{FF2B5EF4-FFF2-40B4-BE49-F238E27FC236}">
                  <a16:creationId xmlns:a16="http://schemas.microsoft.com/office/drawing/2014/main" id="{00000000-0008-0000-0400-0000010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63131511-3B1D-4CE7-9E76-FAA314FBA8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4237DE30-DF88-4D79-A543-0413E3C0F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76FE2-9585-4F75-85D8-02A55E936948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95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86</v>
      </c>
      <c r="B4" s="97" t="s">
        <v>65</v>
      </c>
      <c r="C4" s="97" t="s">
        <v>65</v>
      </c>
      <c r="D4" s="97" t="s">
        <v>100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92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89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100</v>
      </c>
      <c r="G6" s="97" t="s">
        <v>65</v>
      </c>
      <c r="H6" s="97" t="s">
        <v>100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2</v>
      </c>
    </row>
    <row r="7" spans="1:14" x14ac:dyDescent="0.25">
      <c r="A7" s="98" t="s">
        <v>85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100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100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100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100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1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98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93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96</v>
      </c>
      <c r="B17" s="97" t="s">
        <v>100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103</v>
      </c>
      <c r="B18" s="97" t="s">
        <v>65</v>
      </c>
      <c r="C18" s="97" t="s">
        <v>100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1</v>
      </c>
    </row>
    <row r="19" spans="1:14" x14ac:dyDescent="0.25">
      <c r="A19" s="98" t="s">
        <v>104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>
        <v>0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B2152-EED6-4888-AD35-9BDD387097E9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66</v>
      </c>
      <c r="C2" s="97" t="s">
        <v>66</v>
      </c>
      <c r="D2" s="97" t="s">
        <v>66</v>
      </c>
      <c r="E2" s="97" t="s">
        <v>66</v>
      </c>
      <c r="F2" s="97" t="s">
        <v>66</v>
      </c>
      <c r="G2" s="97" t="s">
        <v>66</v>
      </c>
      <c r="H2" s="97" t="s">
        <v>66</v>
      </c>
      <c r="I2" s="97" t="s">
        <v>66</v>
      </c>
      <c r="J2" s="97" t="s">
        <v>66</v>
      </c>
      <c r="K2" s="97" t="s">
        <v>66</v>
      </c>
      <c r="L2" s="97"/>
      <c r="M2" s="97"/>
      <c r="N2" s="97">
        <v>10</v>
      </c>
      <c r="O2" s="97">
        <v>0</v>
      </c>
    </row>
    <row r="3" spans="1:15" x14ac:dyDescent="0.25">
      <c r="A3" s="98" t="s">
        <v>95</v>
      </c>
      <c r="B3" s="97" t="s">
        <v>101</v>
      </c>
      <c r="C3" s="97" t="s">
        <v>101</v>
      </c>
      <c r="D3" s="97" t="s">
        <v>101</v>
      </c>
      <c r="E3" s="97" t="s">
        <v>66</v>
      </c>
      <c r="F3" s="97" t="s">
        <v>101</v>
      </c>
      <c r="G3" s="97" t="s">
        <v>66</v>
      </c>
      <c r="H3" s="97" t="s">
        <v>101</v>
      </c>
      <c r="I3" s="97" t="s">
        <v>101</v>
      </c>
      <c r="J3" s="97" t="s">
        <v>101</v>
      </c>
      <c r="K3" s="97" t="s">
        <v>101</v>
      </c>
      <c r="L3" s="97"/>
      <c r="M3" s="97"/>
      <c r="N3" s="97">
        <v>2</v>
      </c>
      <c r="O3" s="97">
        <v>0</v>
      </c>
    </row>
    <row r="4" spans="1:15" x14ac:dyDescent="0.25">
      <c r="A4" s="98" t="s">
        <v>86</v>
      </c>
      <c r="B4" s="97" t="s">
        <v>101</v>
      </c>
      <c r="C4" s="97" t="s">
        <v>66</v>
      </c>
      <c r="D4" s="97" t="s">
        <v>101</v>
      </c>
      <c r="E4" s="97" t="s">
        <v>101</v>
      </c>
      <c r="F4" s="97" t="s">
        <v>101</v>
      </c>
      <c r="G4" s="97" t="s">
        <v>66</v>
      </c>
      <c r="H4" s="97" t="s">
        <v>101</v>
      </c>
      <c r="I4" s="97" t="s">
        <v>101</v>
      </c>
      <c r="J4" s="97" t="s">
        <v>66</v>
      </c>
      <c r="K4" s="97" t="s">
        <v>101</v>
      </c>
      <c r="L4" s="97"/>
      <c r="M4" s="97"/>
      <c r="N4" s="97">
        <v>3</v>
      </c>
      <c r="O4" s="97">
        <v>0</v>
      </c>
    </row>
    <row r="5" spans="1:15" x14ac:dyDescent="0.25">
      <c r="A5" s="98" t="s">
        <v>92</v>
      </c>
      <c r="B5" s="97" t="s">
        <v>101</v>
      </c>
      <c r="C5" s="97" t="s">
        <v>101</v>
      </c>
      <c r="D5" s="97" t="s">
        <v>101</v>
      </c>
      <c r="E5" s="97" t="s">
        <v>66</v>
      </c>
      <c r="F5" s="97" t="s">
        <v>101</v>
      </c>
      <c r="G5" s="97" t="s">
        <v>66</v>
      </c>
      <c r="H5" s="97" t="s">
        <v>101</v>
      </c>
      <c r="I5" s="97" t="s">
        <v>101</v>
      </c>
      <c r="J5" s="97" t="s">
        <v>66</v>
      </c>
      <c r="K5" s="97" t="s">
        <v>66</v>
      </c>
      <c r="L5" s="97"/>
      <c r="M5" s="97"/>
      <c r="N5" s="97">
        <v>4</v>
      </c>
      <c r="O5" s="97">
        <v>0</v>
      </c>
    </row>
    <row r="6" spans="1:15" x14ac:dyDescent="0.25">
      <c r="A6" s="98" t="s">
        <v>89</v>
      </c>
      <c r="B6" s="97" t="s">
        <v>101</v>
      </c>
      <c r="C6" s="97" t="s">
        <v>66</v>
      </c>
      <c r="D6" s="97" t="s">
        <v>101</v>
      </c>
      <c r="E6" s="97" t="s">
        <v>66</v>
      </c>
      <c r="F6" s="97" t="s">
        <v>101</v>
      </c>
      <c r="G6" s="97" t="s">
        <v>101</v>
      </c>
      <c r="H6" s="97" t="s">
        <v>101</v>
      </c>
      <c r="I6" s="97" t="s">
        <v>101</v>
      </c>
      <c r="J6" s="97" t="s">
        <v>101</v>
      </c>
      <c r="K6" s="97" t="s">
        <v>101</v>
      </c>
      <c r="L6" s="97"/>
      <c r="M6" s="97"/>
      <c r="N6" s="97">
        <v>2</v>
      </c>
      <c r="O6" s="97">
        <v>1</v>
      </c>
    </row>
    <row r="7" spans="1:15" x14ac:dyDescent="0.25">
      <c r="A7" s="98" t="s">
        <v>85</v>
      </c>
      <c r="B7" s="97" t="s">
        <v>66</v>
      </c>
      <c r="C7" s="97" t="s">
        <v>101</v>
      </c>
      <c r="D7" s="97" t="s">
        <v>101</v>
      </c>
      <c r="E7" s="97" t="s">
        <v>101</v>
      </c>
      <c r="F7" s="97" t="s">
        <v>101</v>
      </c>
      <c r="G7" s="97" t="s">
        <v>101</v>
      </c>
      <c r="H7" s="97" t="s">
        <v>101</v>
      </c>
      <c r="I7" s="97" t="s">
        <v>101</v>
      </c>
      <c r="J7" s="97" t="s">
        <v>101</v>
      </c>
      <c r="K7" s="97" t="s">
        <v>101</v>
      </c>
      <c r="L7" s="97"/>
      <c r="M7" s="97"/>
      <c r="N7" s="97">
        <v>1</v>
      </c>
      <c r="O7" s="97">
        <v>1</v>
      </c>
    </row>
    <row r="8" spans="1:15" x14ac:dyDescent="0.25">
      <c r="A8" s="98" t="s">
        <v>97</v>
      </c>
      <c r="B8" s="97" t="s">
        <v>101</v>
      </c>
      <c r="C8" s="97" t="s">
        <v>101</v>
      </c>
      <c r="D8" s="97" t="s">
        <v>101</v>
      </c>
      <c r="E8" s="97" t="s">
        <v>101</v>
      </c>
      <c r="F8" s="97" t="s">
        <v>101</v>
      </c>
      <c r="G8" s="97" t="s">
        <v>66</v>
      </c>
      <c r="H8" s="97" t="s">
        <v>101</v>
      </c>
      <c r="I8" s="97" t="s">
        <v>101</v>
      </c>
      <c r="J8" s="97" t="s">
        <v>101</v>
      </c>
      <c r="K8" s="97" t="s">
        <v>101</v>
      </c>
      <c r="L8" s="97"/>
      <c r="M8" s="97"/>
      <c r="N8" s="97">
        <v>1</v>
      </c>
      <c r="O8" s="97">
        <v>0</v>
      </c>
    </row>
    <row r="9" spans="1:15" x14ac:dyDescent="0.25">
      <c r="A9" s="98" t="s">
        <v>84</v>
      </c>
      <c r="B9" s="97" t="s">
        <v>66</v>
      </c>
      <c r="C9" s="97" t="s">
        <v>101</v>
      </c>
      <c r="D9" s="97" t="s">
        <v>101</v>
      </c>
      <c r="E9" s="97" t="s">
        <v>101</v>
      </c>
      <c r="F9" s="97" t="s">
        <v>101</v>
      </c>
      <c r="G9" s="97" t="s">
        <v>66</v>
      </c>
      <c r="H9" s="97" t="s">
        <v>101</v>
      </c>
      <c r="I9" s="97" t="s">
        <v>101</v>
      </c>
      <c r="J9" s="97" t="s">
        <v>66</v>
      </c>
      <c r="K9" s="97" t="s">
        <v>66</v>
      </c>
      <c r="L9" s="97"/>
      <c r="M9" s="97"/>
      <c r="N9" s="97">
        <v>4</v>
      </c>
      <c r="O9" s="97">
        <v>0</v>
      </c>
    </row>
    <row r="10" spans="1:15" x14ac:dyDescent="0.25">
      <c r="A10" s="98" t="s">
        <v>83</v>
      </c>
      <c r="B10" s="97" t="s">
        <v>66</v>
      </c>
      <c r="C10" s="97" t="s">
        <v>66</v>
      </c>
      <c r="D10" s="97" t="s">
        <v>101</v>
      </c>
      <c r="E10" s="97" t="s">
        <v>101</v>
      </c>
      <c r="F10" s="97" t="s">
        <v>101</v>
      </c>
      <c r="G10" s="97" t="s">
        <v>101</v>
      </c>
      <c r="H10" s="97" t="s">
        <v>101</v>
      </c>
      <c r="I10" s="97" t="s">
        <v>101</v>
      </c>
      <c r="J10" s="97" t="s">
        <v>66</v>
      </c>
      <c r="K10" s="97" t="s">
        <v>66</v>
      </c>
      <c r="L10" s="97"/>
      <c r="M10" s="97"/>
      <c r="N10" s="97">
        <v>4</v>
      </c>
      <c r="O10" s="97">
        <v>0</v>
      </c>
    </row>
    <row r="11" spans="1:15" x14ac:dyDescent="0.25">
      <c r="A11" s="98" t="s">
        <v>88</v>
      </c>
      <c r="B11" s="97" t="s">
        <v>101</v>
      </c>
      <c r="C11" s="97" t="s">
        <v>101</v>
      </c>
      <c r="D11" s="97" t="s">
        <v>101</v>
      </c>
      <c r="E11" s="97" t="s">
        <v>101</v>
      </c>
      <c r="F11" s="97" t="s">
        <v>101</v>
      </c>
      <c r="G11" s="97" t="s">
        <v>101</v>
      </c>
      <c r="H11" s="97" t="s">
        <v>66</v>
      </c>
      <c r="I11" s="97" t="s">
        <v>101</v>
      </c>
      <c r="J11" s="97" t="s">
        <v>101</v>
      </c>
      <c r="K11" s="97" t="s">
        <v>101</v>
      </c>
      <c r="L11" s="97"/>
      <c r="M11" s="97"/>
      <c r="N11" s="97">
        <v>1</v>
      </c>
      <c r="O11" s="97">
        <v>2</v>
      </c>
    </row>
    <row r="12" spans="1:15" x14ac:dyDescent="0.25">
      <c r="A12" s="98" t="s">
        <v>82</v>
      </c>
      <c r="B12" s="97" t="s">
        <v>66</v>
      </c>
      <c r="C12" s="97" t="s">
        <v>66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66</v>
      </c>
      <c r="I12" s="97" t="s">
        <v>66</v>
      </c>
      <c r="J12" s="97" t="s">
        <v>66</v>
      </c>
      <c r="K12" s="97" t="s">
        <v>66</v>
      </c>
      <c r="L12" s="97"/>
      <c r="M12" s="97"/>
      <c r="N12" s="97">
        <v>10</v>
      </c>
      <c r="O12" s="97">
        <v>0</v>
      </c>
    </row>
    <row r="13" spans="1:15" x14ac:dyDescent="0.25">
      <c r="A13" s="98" t="s">
        <v>98</v>
      </c>
      <c r="B13" s="97" t="s">
        <v>101</v>
      </c>
      <c r="C13" s="97" t="s">
        <v>101</v>
      </c>
      <c r="D13" s="97" t="s">
        <v>101</v>
      </c>
      <c r="E13" s="97" t="s">
        <v>101</v>
      </c>
      <c r="F13" s="97" t="s">
        <v>101</v>
      </c>
      <c r="G13" s="97" t="s">
        <v>101</v>
      </c>
      <c r="H13" s="97" t="s">
        <v>101</v>
      </c>
      <c r="I13" s="97" t="s">
        <v>101</v>
      </c>
      <c r="J13" s="97" t="s">
        <v>101</v>
      </c>
      <c r="K13" s="97" t="s">
        <v>101</v>
      </c>
      <c r="L13" s="97"/>
      <c r="M13" s="97"/>
      <c r="N13" s="97">
        <v>0</v>
      </c>
      <c r="O13" s="97">
        <v>0</v>
      </c>
    </row>
    <row r="14" spans="1:15" x14ac:dyDescent="0.25">
      <c r="A14" s="98" t="s">
        <v>90</v>
      </c>
      <c r="B14" s="97" t="s">
        <v>101</v>
      </c>
      <c r="C14" s="97" t="s">
        <v>66</v>
      </c>
      <c r="D14" s="97" t="s">
        <v>101</v>
      </c>
      <c r="E14" s="97" t="s">
        <v>101</v>
      </c>
      <c r="F14" s="97" t="s">
        <v>101</v>
      </c>
      <c r="G14" s="97" t="s">
        <v>66</v>
      </c>
      <c r="H14" s="97" t="s">
        <v>66</v>
      </c>
      <c r="I14" s="97" t="s">
        <v>66</v>
      </c>
      <c r="J14" s="97" t="s">
        <v>66</v>
      </c>
      <c r="K14" s="97" t="s">
        <v>66</v>
      </c>
      <c r="L14" s="97"/>
      <c r="M14" s="97"/>
      <c r="N14" s="97">
        <v>6</v>
      </c>
      <c r="O14" s="97">
        <v>0</v>
      </c>
    </row>
    <row r="15" spans="1:15" x14ac:dyDescent="0.25">
      <c r="A15" s="98" t="s">
        <v>93</v>
      </c>
      <c r="B15" s="97" t="s">
        <v>101</v>
      </c>
      <c r="C15" s="97" t="s">
        <v>101</v>
      </c>
      <c r="D15" s="97" t="s">
        <v>101</v>
      </c>
      <c r="E15" s="97" t="s">
        <v>101</v>
      </c>
      <c r="F15" s="97" t="s">
        <v>66</v>
      </c>
      <c r="G15" s="97" t="s">
        <v>66</v>
      </c>
      <c r="H15" s="97" t="s">
        <v>101</v>
      </c>
      <c r="I15" s="97" t="s">
        <v>66</v>
      </c>
      <c r="J15" s="97" t="s">
        <v>66</v>
      </c>
      <c r="K15" s="97" t="s">
        <v>66</v>
      </c>
      <c r="L15" s="97"/>
      <c r="M15" s="97"/>
      <c r="N15" s="97">
        <v>5</v>
      </c>
      <c r="O15" s="97">
        <v>1</v>
      </c>
    </row>
    <row r="16" spans="1:15" x14ac:dyDescent="0.25">
      <c r="A16" s="98" t="s">
        <v>91</v>
      </c>
      <c r="B16" s="97" t="s">
        <v>101</v>
      </c>
      <c r="C16" s="97" t="s">
        <v>66</v>
      </c>
      <c r="D16" s="97" t="s">
        <v>101</v>
      </c>
      <c r="E16" s="97" t="s">
        <v>101</v>
      </c>
      <c r="F16" s="97" t="s">
        <v>101</v>
      </c>
      <c r="G16" s="97" t="s">
        <v>101</v>
      </c>
      <c r="H16" s="97" t="s">
        <v>66</v>
      </c>
      <c r="I16" s="97" t="s">
        <v>101</v>
      </c>
      <c r="J16" s="97" t="s">
        <v>66</v>
      </c>
      <c r="K16" s="97" t="s">
        <v>101</v>
      </c>
      <c r="L16" s="97"/>
      <c r="M16" s="97"/>
      <c r="N16" s="97">
        <v>3</v>
      </c>
      <c r="O16" s="97">
        <v>0</v>
      </c>
    </row>
    <row r="17" spans="1:15" x14ac:dyDescent="0.25">
      <c r="A17" s="98" t="s">
        <v>96</v>
      </c>
      <c r="B17" s="97" t="s">
        <v>101</v>
      </c>
      <c r="C17" s="97" t="s">
        <v>66</v>
      </c>
      <c r="D17" s="97" t="s">
        <v>101</v>
      </c>
      <c r="E17" s="97" t="s">
        <v>101</v>
      </c>
      <c r="F17" s="97" t="s">
        <v>101</v>
      </c>
      <c r="G17" s="97" t="s">
        <v>101</v>
      </c>
      <c r="H17" s="97" t="s">
        <v>101</v>
      </c>
      <c r="I17" s="97" t="s">
        <v>101</v>
      </c>
      <c r="J17" s="97" t="s">
        <v>101</v>
      </c>
      <c r="K17" s="97" t="s">
        <v>101</v>
      </c>
      <c r="L17" s="97"/>
      <c r="M17" s="97"/>
      <c r="N17" s="97">
        <v>1</v>
      </c>
      <c r="O17" s="97">
        <v>2</v>
      </c>
    </row>
    <row r="18" spans="1:15" x14ac:dyDescent="0.25">
      <c r="A18" s="98" t="s">
        <v>103</v>
      </c>
      <c r="B18" s="97" t="s">
        <v>66</v>
      </c>
      <c r="C18" s="97" t="s">
        <v>101</v>
      </c>
      <c r="D18" s="97" t="s">
        <v>101</v>
      </c>
      <c r="E18" s="97" t="s">
        <v>66</v>
      </c>
      <c r="F18" s="97" t="s">
        <v>101</v>
      </c>
      <c r="G18" s="97" t="s">
        <v>101</v>
      </c>
      <c r="H18" s="97" t="s">
        <v>101</v>
      </c>
      <c r="I18" s="97" t="s">
        <v>101</v>
      </c>
      <c r="J18" s="97" t="s">
        <v>66</v>
      </c>
      <c r="K18" s="97" t="s">
        <v>101</v>
      </c>
      <c r="L18" s="97"/>
      <c r="M18" s="97"/>
      <c r="N18" s="97">
        <v>3</v>
      </c>
      <c r="O18" s="97">
        <v>1</v>
      </c>
    </row>
    <row r="19" spans="1:15" x14ac:dyDescent="0.25">
      <c r="A19" s="98" t="s">
        <v>104</v>
      </c>
      <c r="B19" s="97" t="s">
        <v>66</v>
      </c>
      <c r="C19" s="97" t="s">
        <v>66</v>
      </c>
      <c r="D19" s="97" t="s">
        <v>101</v>
      </c>
      <c r="E19" s="97" t="s">
        <v>66</v>
      </c>
      <c r="F19" s="97" t="s">
        <v>101</v>
      </c>
      <c r="G19" s="97" t="s">
        <v>66</v>
      </c>
      <c r="H19" s="97" t="s">
        <v>101</v>
      </c>
      <c r="I19" s="97" t="s">
        <v>66</v>
      </c>
      <c r="J19" s="97" t="s">
        <v>66</v>
      </c>
      <c r="K19" s="97" t="s">
        <v>66</v>
      </c>
      <c r="L19" s="97"/>
      <c r="M19" s="97"/>
      <c r="N19" s="97">
        <v>7</v>
      </c>
      <c r="O19" s="97">
        <v>0</v>
      </c>
    </row>
    <row r="20" spans="1:15" x14ac:dyDescent="0.25">
      <c r="A20" s="98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>
        <v>0</v>
      </c>
      <c r="O20" s="97">
        <v>0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0.37222222222222223</v>
      </c>
      <c r="O46" s="97"/>
    </row>
  </sheetData>
  <autoFilter ref="A1:O46" xr:uid="{00000000-0001-0000-0B00-000000000000}"/>
  <conditionalFormatting sqref="N2:N46">
    <cfRule type="cellIs" dxfId="121" priority="3" operator="equal">
      <formula>3</formula>
    </cfRule>
    <cfRule type="cellIs" dxfId="120" priority="4" operator="greaterThan">
      <formula>3</formula>
    </cfRule>
  </conditionalFormatting>
  <conditionalFormatting sqref="O2:O46">
    <cfRule type="cellIs" dxfId="119" priority="1" operator="equal">
      <formula>3</formula>
    </cfRule>
    <cfRule type="cellIs" dxfId="118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086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40AA0-0B01-48A2-BE40-9CB9A8810C00}">
  <sheetPr codeName="Plan4"/>
  <dimension ref="A1:XFD49"/>
  <sheetViews>
    <sheetView showGridLines="0" zoomScaleNormal="100" workbookViewId="0">
      <pane xSplit="3" ySplit="4" topLeftCell="AC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 t="s">
        <v>99</v>
      </c>
      <c r="AL1" s="89"/>
      <c r="AM1" s="88"/>
      <c r="AN1" s="90"/>
      <c r="AO1" s="89" t="s">
        <v>99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41" t="s">
        <v>16</v>
      </c>
      <c r="E2" s="142"/>
      <c r="F2" s="143"/>
      <c r="G2" s="144"/>
      <c r="H2" s="141" t="s">
        <v>15</v>
      </c>
      <c r="I2" s="142"/>
      <c r="J2" s="143"/>
      <c r="K2" s="144"/>
      <c r="L2" s="141" t="s">
        <v>14</v>
      </c>
      <c r="M2" s="142"/>
      <c r="N2" s="143"/>
      <c r="O2" s="144"/>
      <c r="P2" s="141" t="s">
        <v>13</v>
      </c>
      <c r="Q2" s="142"/>
      <c r="R2" s="143"/>
      <c r="S2" s="144"/>
      <c r="T2" s="141" t="s">
        <v>12</v>
      </c>
      <c r="U2" s="142"/>
      <c r="V2" s="143"/>
      <c r="W2" s="144"/>
      <c r="X2" s="141" t="s">
        <v>11</v>
      </c>
      <c r="Y2" s="142"/>
      <c r="Z2" s="143"/>
      <c r="AA2" s="144"/>
      <c r="AB2" s="141" t="s">
        <v>10</v>
      </c>
      <c r="AC2" s="142"/>
      <c r="AD2" s="143"/>
      <c r="AE2" s="144"/>
      <c r="AF2" s="141" t="s">
        <v>9</v>
      </c>
      <c r="AG2" s="142"/>
      <c r="AH2" s="143"/>
      <c r="AI2" s="144"/>
      <c r="AJ2" s="141" t="s">
        <v>8</v>
      </c>
      <c r="AK2" s="142"/>
      <c r="AL2" s="143"/>
      <c r="AM2" s="144"/>
      <c r="AN2" s="141" t="s">
        <v>7</v>
      </c>
      <c r="AO2" s="142"/>
      <c r="AP2" s="143"/>
      <c r="AQ2" s="144"/>
      <c r="AR2" s="141" t="s">
        <v>6</v>
      </c>
      <c r="AS2" s="142"/>
      <c r="AT2" s="143"/>
      <c r="AU2" s="144"/>
      <c r="AV2" s="141" t="s">
        <v>5</v>
      </c>
      <c r="AW2" s="142"/>
      <c r="AX2" s="143"/>
      <c r="AY2" s="14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5">
        <v>46061</v>
      </c>
      <c r="E3" s="146"/>
      <c r="F3" s="146"/>
      <c r="G3" s="147"/>
      <c r="H3" s="145">
        <v>46093</v>
      </c>
      <c r="I3" s="146"/>
      <c r="J3" s="146"/>
      <c r="K3" s="147"/>
      <c r="L3" s="145">
        <v>46128</v>
      </c>
      <c r="M3" s="146"/>
      <c r="N3" s="146"/>
      <c r="O3" s="147"/>
      <c r="P3" s="145">
        <v>46142</v>
      </c>
      <c r="Q3" s="146"/>
      <c r="R3" s="146"/>
      <c r="S3" s="147"/>
      <c r="T3" s="145">
        <v>46142</v>
      </c>
      <c r="U3" s="146"/>
      <c r="V3" s="146"/>
      <c r="W3" s="147"/>
      <c r="X3" s="145">
        <v>46198</v>
      </c>
      <c r="Y3" s="146"/>
      <c r="Z3" s="146"/>
      <c r="AA3" s="147"/>
      <c r="AB3" s="145">
        <v>46212</v>
      </c>
      <c r="AC3" s="146"/>
      <c r="AD3" s="146"/>
      <c r="AE3" s="147"/>
      <c r="AF3" s="145">
        <v>46247</v>
      </c>
      <c r="AG3" s="146"/>
      <c r="AH3" s="146"/>
      <c r="AI3" s="147"/>
      <c r="AJ3" s="145">
        <v>46275</v>
      </c>
      <c r="AK3" s="146"/>
      <c r="AL3" s="146"/>
      <c r="AM3" s="147"/>
      <c r="AN3" s="145">
        <v>46303</v>
      </c>
      <c r="AO3" s="146"/>
      <c r="AP3" s="146"/>
      <c r="AQ3" s="147"/>
      <c r="AR3" s="145"/>
      <c r="AS3" s="146"/>
      <c r="AT3" s="146"/>
      <c r="AU3" s="147"/>
      <c r="AV3" s="145"/>
      <c r="AW3" s="146"/>
      <c r="AX3" s="146"/>
      <c r="AY3" s="14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 t="s">
        <v>65</v>
      </c>
      <c r="E5" s="68">
        <v>0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 t="s">
        <v>65</v>
      </c>
      <c r="M5" s="68">
        <v>0</v>
      </c>
      <c r="N5" s="67" t="s">
        <v>65</v>
      </c>
      <c r="O5" s="66" t="s">
        <v>65</v>
      </c>
      <c r="P5" s="62" t="s">
        <v>65</v>
      </c>
      <c r="Q5" s="68">
        <v>0</v>
      </c>
      <c r="R5" s="67" t="s">
        <v>65</v>
      </c>
      <c r="S5" s="66">
        <v>-3</v>
      </c>
      <c r="T5" s="62" t="s">
        <v>65</v>
      </c>
      <c r="U5" s="68">
        <v>0</v>
      </c>
      <c r="V5" s="67" t="s">
        <v>65</v>
      </c>
      <c r="W5" s="66">
        <v>-3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>
        <v>-3</v>
      </c>
      <c r="AJ5" s="62" t="s">
        <v>65</v>
      </c>
      <c r="AK5" s="68">
        <v>0</v>
      </c>
      <c r="AL5" s="67" t="s">
        <v>65</v>
      </c>
      <c r="AM5" s="66">
        <v>-3</v>
      </c>
      <c r="AN5" s="62" t="s">
        <v>65</v>
      </c>
      <c r="AO5" s="68">
        <v>0</v>
      </c>
      <c r="AP5" s="67" t="s">
        <v>65</v>
      </c>
      <c r="AQ5" s="66">
        <v>-3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95</v>
      </c>
      <c r="C6" s="72">
        <v>98</v>
      </c>
      <c r="D6" s="62">
        <v>4</v>
      </c>
      <c r="E6" s="68">
        <v>13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8</v>
      </c>
      <c r="U6" s="68">
        <v>8</v>
      </c>
      <c r="V6" s="67">
        <v>0</v>
      </c>
      <c r="W6" s="66" t="s">
        <v>65</v>
      </c>
      <c r="X6" s="62" t="s">
        <v>65</v>
      </c>
      <c r="Y6" s="68">
        <v>0</v>
      </c>
      <c r="Z6" s="67" t="s">
        <v>65</v>
      </c>
      <c r="AA6" s="66" t="s">
        <v>65</v>
      </c>
      <c r="AB6" s="62">
        <v>7</v>
      </c>
      <c r="AC6" s="68">
        <v>9</v>
      </c>
      <c r="AD6" s="67">
        <v>0</v>
      </c>
      <c r="AE6" s="66" t="s">
        <v>65</v>
      </c>
      <c r="AF6" s="62">
        <v>10</v>
      </c>
      <c r="AG6" s="68">
        <v>6</v>
      </c>
      <c r="AH6" s="67">
        <v>0</v>
      </c>
      <c r="AI6" s="66" t="s">
        <v>65</v>
      </c>
      <c r="AJ6" s="62">
        <v>3</v>
      </c>
      <c r="AK6" s="68">
        <v>15</v>
      </c>
      <c r="AL6" s="67">
        <v>0</v>
      </c>
      <c r="AM6" s="66" t="s">
        <v>65</v>
      </c>
      <c r="AN6" s="62">
        <v>2</v>
      </c>
      <c r="AO6" s="68">
        <v>17</v>
      </c>
      <c r="AP6" s="67">
        <v>0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1</v>
      </c>
      <c r="BC6" s="4">
        <v>1</v>
      </c>
      <c r="BD6" s="4">
        <v>0</v>
      </c>
      <c r="BE6" s="4">
        <v>1</v>
      </c>
      <c r="BF6" s="4">
        <v>1</v>
      </c>
      <c r="BG6" s="4">
        <v>1</v>
      </c>
      <c r="BH6" s="4">
        <v>0</v>
      </c>
      <c r="BI6" s="4">
        <v>1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86</v>
      </c>
      <c r="C7" s="72">
        <v>66</v>
      </c>
      <c r="D7" s="62">
        <v>0</v>
      </c>
      <c r="E7" s="68">
        <v>0</v>
      </c>
      <c r="F7" s="67"/>
      <c r="G7" s="66" t="s">
        <v>65</v>
      </c>
      <c r="H7" s="62" t="s">
        <v>65</v>
      </c>
      <c r="I7" s="68">
        <v>0</v>
      </c>
      <c r="J7" s="67"/>
      <c r="K7" s="66">
        <v>-3</v>
      </c>
      <c r="L7" s="62">
        <v>11</v>
      </c>
      <c r="M7" s="68">
        <v>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</v>
      </c>
      <c r="U7" s="68">
        <v>20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>
        <v>-1</v>
      </c>
      <c r="AB7" s="62">
        <v>3</v>
      </c>
      <c r="AC7" s="68">
        <v>15</v>
      </c>
      <c r="AD7" s="67">
        <v>0</v>
      </c>
      <c r="AE7" s="66" t="s">
        <v>65</v>
      </c>
      <c r="AF7" s="62">
        <v>6</v>
      </c>
      <c r="AG7" s="68">
        <v>10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>
        <v>-1</v>
      </c>
      <c r="AN7" s="62">
        <v>6</v>
      </c>
      <c r="AO7" s="68">
        <v>10</v>
      </c>
      <c r="AP7" s="67">
        <v>1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1</v>
      </c>
      <c r="BC7" s="4">
        <v>0</v>
      </c>
      <c r="BD7" s="4">
        <v>0</v>
      </c>
      <c r="BE7" s="4">
        <v>3</v>
      </c>
      <c r="BF7" s="4">
        <v>0</v>
      </c>
      <c r="BG7" s="4">
        <v>0</v>
      </c>
      <c r="BH7" s="4">
        <v>0</v>
      </c>
      <c r="BI7" s="4">
        <v>0</v>
      </c>
      <c r="BJ7" s="4">
        <v>1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92</v>
      </c>
      <c r="C8" s="72">
        <v>59</v>
      </c>
      <c r="D8" s="62">
        <v>6</v>
      </c>
      <c r="E8" s="68">
        <v>10</v>
      </c>
      <c r="F8" s="67"/>
      <c r="G8" s="66" t="s">
        <v>65</v>
      </c>
      <c r="H8" s="62">
        <v>5</v>
      </c>
      <c r="I8" s="68">
        <v>11</v>
      </c>
      <c r="J8" s="67"/>
      <c r="K8" s="66" t="s">
        <v>65</v>
      </c>
      <c r="L8" s="62">
        <v>7</v>
      </c>
      <c r="M8" s="68">
        <v>9</v>
      </c>
      <c r="N8" s="67">
        <v>0</v>
      </c>
      <c r="O8" s="66" t="s">
        <v>65</v>
      </c>
      <c r="P8" s="62" t="s">
        <v>65</v>
      </c>
      <c r="Q8" s="68">
        <v>0</v>
      </c>
      <c r="R8" s="67" t="s">
        <v>65</v>
      </c>
      <c r="S8" s="66" t="s">
        <v>65</v>
      </c>
      <c r="T8" s="62">
        <v>6</v>
      </c>
      <c r="U8" s="68">
        <v>10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 t="s">
        <v>65</v>
      </c>
      <c r="AB8" s="62">
        <v>6</v>
      </c>
      <c r="AC8" s="68">
        <v>10</v>
      </c>
      <c r="AD8" s="67">
        <v>0</v>
      </c>
      <c r="AE8" s="66" t="s">
        <v>65</v>
      </c>
      <c r="AF8" s="62">
        <v>7</v>
      </c>
      <c r="AG8" s="68">
        <v>9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3</v>
      </c>
      <c r="BF8" s="4">
        <v>2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89</v>
      </c>
      <c r="C9" s="72">
        <v>90</v>
      </c>
      <c r="D9" s="62">
        <v>15</v>
      </c>
      <c r="E9" s="68">
        <v>1</v>
      </c>
      <c r="F9" s="67"/>
      <c r="G9" s="66" t="s">
        <v>102</v>
      </c>
      <c r="H9" s="62" t="s">
        <v>65</v>
      </c>
      <c r="I9" s="68">
        <v>0</v>
      </c>
      <c r="J9" s="67"/>
      <c r="K9" s="66">
        <v>-1</v>
      </c>
      <c r="L9" s="62">
        <v>2</v>
      </c>
      <c r="M9" s="68">
        <v>17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2</v>
      </c>
      <c r="U9" s="68">
        <v>17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>
        <v>4</v>
      </c>
      <c r="AK9" s="68">
        <v>13</v>
      </c>
      <c r="AL9" s="67">
        <v>0</v>
      </c>
      <c r="AM9" s="66" t="s">
        <v>65</v>
      </c>
      <c r="AN9" s="62">
        <v>5</v>
      </c>
      <c r="AO9" s="68">
        <v>11</v>
      </c>
      <c r="AP9" s="67">
        <v>0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1</v>
      </c>
      <c r="BD9" s="4">
        <v>2</v>
      </c>
      <c r="BE9" s="4">
        <v>0</v>
      </c>
      <c r="BF9" s="4">
        <v>0</v>
      </c>
      <c r="BG9" s="4">
        <v>0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85</v>
      </c>
      <c r="C10" s="72">
        <v>141</v>
      </c>
      <c r="D10" s="62" t="s">
        <v>65</v>
      </c>
      <c r="E10" s="68">
        <v>0</v>
      </c>
      <c r="F10" s="67"/>
      <c r="G10" s="66">
        <v>-3</v>
      </c>
      <c r="H10" s="62">
        <v>7</v>
      </c>
      <c r="I10" s="68">
        <v>9</v>
      </c>
      <c r="J10" s="67">
        <v>1</v>
      </c>
      <c r="K10" s="66" t="s">
        <v>65</v>
      </c>
      <c r="L10" s="62">
        <v>1</v>
      </c>
      <c r="M10" s="68">
        <v>20</v>
      </c>
      <c r="N10" s="67">
        <v>1</v>
      </c>
      <c r="O10" s="66">
        <v>-1</v>
      </c>
      <c r="P10" s="62">
        <v>1</v>
      </c>
      <c r="Q10" s="68">
        <v>20</v>
      </c>
      <c r="R10" s="67">
        <v>0</v>
      </c>
      <c r="S10" s="66" t="s">
        <v>65</v>
      </c>
      <c r="T10" s="62">
        <v>11</v>
      </c>
      <c r="U10" s="68">
        <v>5</v>
      </c>
      <c r="V10" s="67">
        <v>1</v>
      </c>
      <c r="W10" s="66" t="s">
        <v>102</v>
      </c>
      <c r="X10" s="62">
        <v>1</v>
      </c>
      <c r="Y10" s="68">
        <v>20</v>
      </c>
      <c r="Z10" s="67">
        <v>0</v>
      </c>
      <c r="AA10" s="66" t="s">
        <v>65</v>
      </c>
      <c r="AB10" s="62">
        <v>2</v>
      </c>
      <c r="AC10" s="68">
        <v>17</v>
      </c>
      <c r="AD10" s="67">
        <v>0</v>
      </c>
      <c r="AE10" s="66">
        <v>-1</v>
      </c>
      <c r="AF10" s="62">
        <v>1</v>
      </c>
      <c r="AG10" s="68">
        <v>20</v>
      </c>
      <c r="AH10" s="67">
        <v>0</v>
      </c>
      <c r="AI10" s="66" t="s">
        <v>65</v>
      </c>
      <c r="AJ10" s="62">
        <v>2</v>
      </c>
      <c r="AK10" s="68">
        <v>17</v>
      </c>
      <c r="AL10" s="67">
        <v>0</v>
      </c>
      <c r="AM10" s="66" t="s">
        <v>65</v>
      </c>
      <c r="AN10" s="62">
        <v>3</v>
      </c>
      <c r="AO10" s="68">
        <v>15</v>
      </c>
      <c r="AP10" s="67">
        <v>0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4</v>
      </c>
      <c r="BA10" s="4">
        <v>2</v>
      </c>
      <c r="BB10" s="4">
        <v>1</v>
      </c>
      <c r="BC10" s="4">
        <v>0</v>
      </c>
      <c r="BD10" s="4">
        <v>0</v>
      </c>
      <c r="BE10" s="4">
        <v>0</v>
      </c>
      <c r="BF10" s="4">
        <v>1</v>
      </c>
      <c r="BG10" s="4">
        <v>0</v>
      </c>
      <c r="BH10" s="4">
        <v>0</v>
      </c>
      <c r="BI10" s="4">
        <v>0</v>
      </c>
      <c r="BJ10" s="4">
        <v>1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91</v>
      </c>
      <c r="D11" s="62">
        <v>2</v>
      </c>
      <c r="E11" s="68">
        <v>17</v>
      </c>
      <c r="F11" s="67">
        <v>1</v>
      </c>
      <c r="G11" s="66" t="s">
        <v>65</v>
      </c>
      <c r="H11" s="62">
        <v>4</v>
      </c>
      <c r="I11" s="68">
        <v>13</v>
      </c>
      <c r="J11" s="67"/>
      <c r="K11" s="66" t="s">
        <v>65</v>
      </c>
      <c r="L11" s="62">
        <v>8</v>
      </c>
      <c r="M11" s="68">
        <v>8</v>
      </c>
      <c r="N11" s="67">
        <v>0</v>
      </c>
      <c r="O11" s="66" t="s">
        <v>65</v>
      </c>
      <c r="P11" s="62">
        <v>3</v>
      </c>
      <c r="Q11" s="68">
        <v>15</v>
      </c>
      <c r="R11" s="67">
        <v>0</v>
      </c>
      <c r="S11" s="66" t="s">
        <v>65</v>
      </c>
      <c r="T11" s="62">
        <v>5</v>
      </c>
      <c r="U11" s="68">
        <v>11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 t="s">
        <v>65</v>
      </c>
      <c r="AB11" s="62">
        <v>13</v>
      </c>
      <c r="AC11" s="68">
        <v>3</v>
      </c>
      <c r="AD11" s="67">
        <v>0</v>
      </c>
      <c r="AE11" s="66" t="s">
        <v>65</v>
      </c>
      <c r="AF11" s="62">
        <v>11</v>
      </c>
      <c r="AG11" s="68">
        <v>5</v>
      </c>
      <c r="AH11" s="67">
        <v>0</v>
      </c>
      <c r="AI11" s="66" t="s">
        <v>65</v>
      </c>
      <c r="AJ11" s="62">
        <v>5</v>
      </c>
      <c r="AK11" s="68">
        <v>11</v>
      </c>
      <c r="AL11" s="67">
        <v>0</v>
      </c>
      <c r="AM11" s="66" t="s">
        <v>65</v>
      </c>
      <c r="AN11" s="62">
        <v>9</v>
      </c>
      <c r="AO11" s="68">
        <v>7</v>
      </c>
      <c r="AP11" s="67">
        <v>0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1</v>
      </c>
      <c r="BC11" s="4">
        <v>1</v>
      </c>
      <c r="BD11" s="4">
        <v>2</v>
      </c>
      <c r="BE11" s="4">
        <v>0</v>
      </c>
      <c r="BF11" s="4">
        <v>0</v>
      </c>
      <c r="BG11" s="4">
        <v>1</v>
      </c>
      <c r="BH11" s="4">
        <v>1</v>
      </c>
      <c r="BI11" s="4">
        <v>0</v>
      </c>
      <c r="BJ11" s="4">
        <v>1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57</v>
      </c>
      <c r="D12" s="62" t="s">
        <v>65</v>
      </c>
      <c r="E12" s="68">
        <v>0</v>
      </c>
      <c r="F12" s="67"/>
      <c r="G12" s="66" t="s">
        <v>65</v>
      </c>
      <c r="H12" s="62">
        <v>3</v>
      </c>
      <c r="I12" s="68">
        <v>15</v>
      </c>
      <c r="J12" s="67"/>
      <c r="K12" s="66" t="s">
        <v>65</v>
      </c>
      <c r="L12" s="62">
        <v>13</v>
      </c>
      <c r="M12" s="68">
        <v>3</v>
      </c>
      <c r="N12" s="67">
        <v>0</v>
      </c>
      <c r="O12" s="66" t="s">
        <v>65</v>
      </c>
      <c r="P12" s="62">
        <v>5</v>
      </c>
      <c r="Q12" s="68">
        <v>11</v>
      </c>
      <c r="R12" s="67">
        <v>0</v>
      </c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 t="s">
        <v>65</v>
      </c>
      <c r="AB12" s="62">
        <v>8</v>
      </c>
      <c r="AC12" s="68">
        <v>8</v>
      </c>
      <c r="AD12" s="67">
        <v>0</v>
      </c>
      <c r="AE12" s="66" t="s">
        <v>65</v>
      </c>
      <c r="AF12" s="62">
        <v>4</v>
      </c>
      <c r="AG12" s="68">
        <v>13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1</v>
      </c>
      <c r="BD12" s="4">
        <v>1</v>
      </c>
      <c r="BE12" s="4">
        <v>0</v>
      </c>
      <c r="BF12" s="4">
        <v>0</v>
      </c>
      <c r="BG12" s="4">
        <v>1</v>
      </c>
      <c r="BH12" s="4">
        <v>1</v>
      </c>
      <c r="BI12" s="4">
        <v>0</v>
      </c>
      <c r="BJ12" s="4">
        <v>0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79</v>
      </c>
      <c r="D13" s="62" t="s">
        <v>65</v>
      </c>
      <c r="E13" s="68">
        <v>0</v>
      </c>
      <c r="F13" s="67"/>
      <c r="G13" s="66" t="s">
        <v>65</v>
      </c>
      <c r="H13" s="62" t="s">
        <v>65</v>
      </c>
      <c r="I13" s="68">
        <v>0</v>
      </c>
      <c r="J13" s="67"/>
      <c r="K13" s="66">
        <v>-1</v>
      </c>
      <c r="L13" s="62">
        <v>3</v>
      </c>
      <c r="M13" s="68">
        <v>15</v>
      </c>
      <c r="N13" s="67">
        <v>0</v>
      </c>
      <c r="O13" s="66" t="s">
        <v>65</v>
      </c>
      <c r="P13" s="62">
        <v>2</v>
      </c>
      <c r="Q13" s="68">
        <v>17</v>
      </c>
      <c r="R13" s="67">
        <v>1</v>
      </c>
      <c r="S13" s="66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2</v>
      </c>
      <c r="Y13" s="68">
        <v>17</v>
      </c>
      <c r="Z13" s="67">
        <v>0</v>
      </c>
      <c r="AA13" s="107" t="s">
        <v>65</v>
      </c>
      <c r="AB13" s="62">
        <v>9</v>
      </c>
      <c r="AC13" s="68">
        <v>7</v>
      </c>
      <c r="AD13" s="67">
        <v>1</v>
      </c>
      <c r="AE13" s="66" t="s">
        <v>65</v>
      </c>
      <c r="AF13" s="62">
        <v>9</v>
      </c>
      <c r="AG13" s="68">
        <v>7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2</v>
      </c>
      <c r="BB13" s="4">
        <v>2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2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72</v>
      </c>
      <c r="D14" s="62">
        <v>16</v>
      </c>
      <c r="E14" s="68">
        <v>1</v>
      </c>
      <c r="F14" s="67"/>
      <c r="G14" s="66" t="s">
        <v>102</v>
      </c>
      <c r="H14" s="62">
        <v>8</v>
      </c>
      <c r="I14" s="68">
        <v>8</v>
      </c>
      <c r="J14" s="67"/>
      <c r="K14" s="66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62" t="s">
        <v>65</v>
      </c>
      <c r="AC14" s="68">
        <v>0</v>
      </c>
      <c r="AD14" s="67" t="s">
        <v>65</v>
      </c>
      <c r="AE14" s="66">
        <v>-1</v>
      </c>
      <c r="AF14" s="62">
        <v>3</v>
      </c>
      <c r="AG14" s="68">
        <v>15</v>
      </c>
      <c r="AH14" s="67">
        <v>1</v>
      </c>
      <c r="AI14" s="66" t="s">
        <v>65</v>
      </c>
      <c r="AJ14" s="62">
        <v>6</v>
      </c>
      <c r="AK14" s="68">
        <v>10</v>
      </c>
      <c r="AL14" s="67">
        <v>0</v>
      </c>
      <c r="AM14" s="66" t="s">
        <v>65</v>
      </c>
      <c r="AN14" s="62">
        <v>8</v>
      </c>
      <c r="AO14" s="68">
        <v>8</v>
      </c>
      <c r="AP14" s="67">
        <v>0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1</v>
      </c>
      <c r="BE14" s="4">
        <v>1</v>
      </c>
      <c r="BF14" s="4">
        <v>2</v>
      </c>
      <c r="BG14" s="4">
        <v>2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82</v>
      </c>
      <c r="C15" s="72">
        <v>0</v>
      </c>
      <c r="D15" s="62" t="s">
        <v>65</v>
      </c>
      <c r="E15" s="68">
        <v>0</v>
      </c>
      <c r="F15" s="67"/>
      <c r="G15" s="66">
        <v>-1</v>
      </c>
      <c r="H15" s="62" t="s">
        <v>65</v>
      </c>
      <c r="I15" s="68">
        <v>0</v>
      </c>
      <c r="J15" s="67"/>
      <c r="K15" s="66" t="s">
        <v>65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 t="s">
        <v>65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>
        <v>-3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98</v>
      </c>
      <c r="C16" s="72">
        <v>134</v>
      </c>
      <c r="D16" s="62">
        <v>1</v>
      </c>
      <c r="E16" s="68">
        <v>20</v>
      </c>
      <c r="F16" s="67"/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4</v>
      </c>
      <c r="M16" s="68">
        <v>13</v>
      </c>
      <c r="N16" s="67">
        <v>0</v>
      </c>
      <c r="O16" s="66" t="s">
        <v>65</v>
      </c>
      <c r="P16" s="62">
        <v>4</v>
      </c>
      <c r="Q16" s="68">
        <v>13</v>
      </c>
      <c r="R16" s="67">
        <v>0</v>
      </c>
      <c r="S16" s="66" t="s">
        <v>65</v>
      </c>
      <c r="T16" s="62">
        <v>4</v>
      </c>
      <c r="U16" s="68">
        <v>13</v>
      </c>
      <c r="V16" s="67">
        <v>0</v>
      </c>
      <c r="W16" s="66" t="s">
        <v>65</v>
      </c>
      <c r="X16" s="62">
        <v>4</v>
      </c>
      <c r="Y16" s="68">
        <v>13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>
        <v>13</v>
      </c>
      <c r="AG16" s="68">
        <v>3</v>
      </c>
      <c r="AH16" s="67">
        <v>0</v>
      </c>
      <c r="AI16" s="66" t="s">
        <v>65</v>
      </c>
      <c r="AJ16" s="62">
        <v>7</v>
      </c>
      <c r="AK16" s="68">
        <v>9</v>
      </c>
      <c r="AL16" s="67">
        <v>0</v>
      </c>
      <c r="AM16" s="66" t="s">
        <v>65</v>
      </c>
      <c r="AN16" s="62">
        <v>1</v>
      </c>
      <c r="AO16" s="68">
        <v>20</v>
      </c>
      <c r="AP16" s="67">
        <v>0</v>
      </c>
      <c r="AQ16" s="107"/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2</v>
      </c>
      <c r="BA16" s="4">
        <v>1</v>
      </c>
      <c r="BB16" s="4">
        <v>0</v>
      </c>
      <c r="BC16" s="4">
        <v>5</v>
      </c>
      <c r="BD16" s="4">
        <v>0</v>
      </c>
      <c r="BE16" s="4">
        <v>0</v>
      </c>
      <c r="BF16" s="4">
        <v>1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16</v>
      </c>
      <c r="D17" s="62">
        <v>8</v>
      </c>
      <c r="E17" s="68">
        <v>8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16</v>
      </c>
      <c r="M17" s="68">
        <v>1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14</v>
      </c>
      <c r="U17" s="68">
        <v>2</v>
      </c>
      <c r="V17" s="67">
        <v>0</v>
      </c>
      <c r="W17" s="66" t="s">
        <v>65</v>
      </c>
      <c r="X17" s="62" t="s">
        <v>65</v>
      </c>
      <c r="Y17" s="68">
        <v>0</v>
      </c>
      <c r="Z17" s="67" t="s">
        <v>65</v>
      </c>
      <c r="AA17" s="66" t="s">
        <v>65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>
        <v>-1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1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93</v>
      </c>
      <c r="C18" s="72">
        <v>25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62" t="s">
        <v>65</v>
      </c>
      <c r="U18" s="68">
        <v>0</v>
      </c>
      <c r="V18" s="67" t="s">
        <v>65</v>
      </c>
      <c r="W18" s="66">
        <v>-1</v>
      </c>
      <c r="X18" s="62" t="s">
        <v>65</v>
      </c>
      <c r="Y18" s="68">
        <v>0</v>
      </c>
      <c r="Z18" s="67" t="s">
        <v>65</v>
      </c>
      <c r="AA18" s="66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>
        <v>-1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47</v>
      </c>
      <c r="D19" s="62">
        <v>7</v>
      </c>
      <c r="E19" s="68">
        <v>9</v>
      </c>
      <c r="F19" s="67"/>
      <c r="G19" s="66" t="s">
        <v>65</v>
      </c>
      <c r="H19" s="62" t="s">
        <v>65</v>
      </c>
      <c r="I19" s="68">
        <v>0</v>
      </c>
      <c r="J19" s="67"/>
      <c r="K19" s="66">
        <v>-1</v>
      </c>
      <c r="L19" s="62">
        <v>9</v>
      </c>
      <c r="M19" s="68">
        <v>7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6</v>
      </c>
      <c r="Y19" s="68">
        <v>10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>
        <v>12</v>
      </c>
      <c r="AG19" s="68">
        <v>4</v>
      </c>
      <c r="AH19" s="67">
        <v>0</v>
      </c>
      <c r="AI19" s="66" t="s">
        <v>65</v>
      </c>
      <c r="AJ19" s="62" t="s">
        <v>65</v>
      </c>
      <c r="AK19" s="68">
        <v>0</v>
      </c>
      <c r="AL19" s="67" t="s">
        <v>65</v>
      </c>
      <c r="AM19" s="66">
        <v>-1</v>
      </c>
      <c r="AN19" s="62">
        <v>7</v>
      </c>
      <c r="AO19" s="68">
        <v>9</v>
      </c>
      <c r="AP19" s="67">
        <v>0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1</v>
      </c>
      <c r="BF19" s="4">
        <v>2</v>
      </c>
      <c r="BG19" s="4">
        <v>0</v>
      </c>
      <c r="BH19" s="4">
        <v>1</v>
      </c>
      <c r="BI19" s="4">
        <v>1</v>
      </c>
      <c r="BJ19" s="4">
        <v>0</v>
      </c>
      <c r="BK19" s="4">
        <v>2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96</v>
      </c>
      <c r="C20" s="72">
        <v>90</v>
      </c>
      <c r="D20" s="62">
        <v>3</v>
      </c>
      <c r="E20" s="68">
        <v>15</v>
      </c>
      <c r="F20" s="67"/>
      <c r="G20" s="66" t="s">
        <v>65</v>
      </c>
      <c r="H20" s="62" t="s">
        <v>65</v>
      </c>
      <c r="I20" s="68">
        <v>0</v>
      </c>
      <c r="J20" s="67"/>
      <c r="K20" s="66">
        <v>-1</v>
      </c>
      <c r="L20" s="62">
        <v>15</v>
      </c>
      <c r="M20" s="68">
        <v>1</v>
      </c>
      <c r="N20" s="67">
        <v>0</v>
      </c>
      <c r="O20" s="66" t="s">
        <v>102</v>
      </c>
      <c r="P20" s="62">
        <v>8</v>
      </c>
      <c r="Q20" s="68">
        <v>8</v>
      </c>
      <c r="R20" s="67">
        <v>0</v>
      </c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5</v>
      </c>
      <c r="Y20" s="68">
        <v>11</v>
      </c>
      <c r="Z20" s="67">
        <v>0</v>
      </c>
      <c r="AA20" s="66" t="s">
        <v>65</v>
      </c>
      <c r="AB20" s="62">
        <v>5</v>
      </c>
      <c r="AC20" s="68">
        <v>11</v>
      </c>
      <c r="AD20" s="67">
        <v>0</v>
      </c>
      <c r="AE20" s="66"/>
      <c r="AF20" s="62">
        <v>2</v>
      </c>
      <c r="AG20" s="68">
        <v>17</v>
      </c>
      <c r="AH20" s="67">
        <v>0</v>
      </c>
      <c r="AI20" s="66" t="s">
        <v>65</v>
      </c>
      <c r="AJ20" s="62">
        <v>1</v>
      </c>
      <c r="AK20" s="68">
        <v>20</v>
      </c>
      <c r="AL20" s="67">
        <v>1</v>
      </c>
      <c r="AM20" s="66" t="s">
        <v>65</v>
      </c>
      <c r="AN20" s="62">
        <v>23</v>
      </c>
      <c r="AO20" s="68">
        <v>1</v>
      </c>
      <c r="AP20" s="67">
        <v>0</v>
      </c>
      <c r="AQ20" s="66" t="s">
        <v>102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1</v>
      </c>
      <c r="BA20" s="4">
        <v>1</v>
      </c>
      <c r="BB20" s="4">
        <v>1</v>
      </c>
      <c r="BC20" s="4">
        <v>0</v>
      </c>
      <c r="BD20" s="4">
        <v>2</v>
      </c>
      <c r="BE20" s="4">
        <v>0</v>
      </c>
      <c r="BF20" s="4">
        <v>0</v>
      </c>
      <c r="BG20" s="4">
        <v>1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1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1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103</v>
      </c>
      <c r="C21" s="72">
        <v>66</v>
      </c>
      <c r="D21" s="62" t="s">
        <v>65</v>
      </c>
      <c r="E21" s="68">
        <v>0</v>
      </c>
      <c r="F21" s="67"/>
      <c r="G21" s="66" t="s">
        <v>65</v>
      </c>
      <c r="H21" s="62">
        <v>6</v>
      </c>
      <c r="I21" s="68">
        <v>10</v>
      </c>
      <c r="J21" s="67"/>
      <c r="K21" s="66" t="s">
        <v>65</v>
      </c>
      <c r="L21" s="62">
        <v>10</v>
      </c>
      <c r="M21" s="68">
        <v>6</v>
      </c>
      <c r="N21" s="67">
        <v>0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-1</v>
      </c>
      <c r="T21" s="62">
        <v>22</v>
      </c>
      <c r="U21" s="68">
        <v>1</v>
      </c>
      <c r="V21" s="67">
        <v>0</v>
      </c>
      <c r="W21" s="66" t="s">
        <v>102</v>
      </c>
      <c r="X21" s="62">
        <v>7</v>
      </c>
      <c r="Y21" s="68">
        <v>9</v>
      </c>
      <c r="Z21" s="67">
        <v>1</v>
      </c>
      <c r="AA21" s="66" t="s">
        <v>65</v>
      </c>
      <c r="AB21" s="62">
        <v>1</v>
      </c>
      <c r="AC21" s="68">
        <v>20</v>
      </c>
      <c r="AD21" s="67">
        <v>0</v>
      </c>
      <c r="AE21" s="66" t="s">
        <v>65</v>
      </c>
      <c r="AF21" s="62">
        <v>8</v>
      </c>
      <c r="AG21" s="68">
        <v>8</v>
      </c>
      <c r="AH21" s="67">
        <v>0</v>
      </c>
      <c r="AI21" s="66" t="s">
        <v>65</v>
      </c>
      <c r="AJ21" s="62" t="s">
        <v>65</v>
      </c>
      <c r="AK21" s="68">
        <v>0</v>
      </c>
      <c r="AL21" s="67" t="s">
        <v>65</v>
      </c>
      <c r="AM21" s="66">
        <v>-1</v>
      </c>
      <c r="AN21" s="62">
        <v>4</v>
      </c>
      <c r="AO21" s="68">
        <v>13</v>
      </c>
      <c r="AP21" s="67">
        <v>0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1</v>
      </c>
      <c r="BA21" s="4">
        <v>0</v>
      </c>
      <c r="BB21" s="4">
        <v>0</v>
      </c>
      <c r="BC21" s="4">
        <v>1</v>
      </c>
      <c r="BD21" s="4">
        <v>0</v>
      </c>
      <c r="BE21" s="4">
        <v>1</v>
      </c>
      <c r="BF21" s="4">
        <v>1</v>
      </c>
      <c r="BG21" s="4">
        <v>1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1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104</v>
      </c>
      <c r="C22" s="72">
        <v>3</v>
      </c>
      <c r="D22" s="62" t="s">
        <v>65</v>
      </c>
      <c r="E22" s="68">
        <v>0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>
        <v>14</v>
      </c>
      <c r="M22" s="68">
        <v>2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13</v>
      </c>
      <c r="U22" s="68">
        <v>3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>
        <v>12</v>
      </c>
      <c r="AC22" s="68">
        <v>4</v>
      </c>
      <c r="AD22" s="67">
        <v>0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>
        <v>-3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1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autoFilter ref="H4:K49" xr:uid="{00000000-0001-0000-1300-000000000000}"/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117" priority="59" stopIfTrue="1"/>
  </conditionalFormatting>
  <conditionalFormatting sqref="B5:B49">
    <cfRule type="duplicateValues" dxfId="116" priority="58"/>
  </conditionalFormatting>
  <conditionalFormatting sqref="H49">
    <cfRule type="duplicateValues" dxfId="115" priority="57" stopIfTrue="1"/>
  </conditionalFormatting>
  <conditionalFormatting sqref="AE49">
    <cfRule type="expression" dxfId="114" priority="55">
      <formula>COUNTIF($D49:AE49,"SIM")=1</formula>
    </cfRule>
    <cfRule type="expression" dxfId="113" priority="56">
      <formula>COUNTIF($D49:AE49,"SIM")&gt;=2</formula>
    </cfRule>
  </conditionalFormatting>
  <conditionalFormatting sqref="W49">
    <cfRule type="expression" dxfId="112" priority="53">
      <formula>COUNTIF($D49:W49,"SIM")=1</formula>
    </cfRule>
    <cfRule type="expression" dxfId="111" priority="54">
      <formula>COUNTIF($D49:W49,"SIM")&gt;=2</formula>
    </cfRule>
  </conditionalFormatting>
  <conditionalFormatting sqref="W35:W48">
    <cfRule type="expression" dxfId="110" priority="51">
      <formula>COUNTIF($D35:W35,"SIM")=1</formula>
    </cfRule>
    <cfRule type="expression" dxfId="109" priority="52">
      <formula>COUNTIF($D35:W35,"SIM")&gt;=2</formula>
    </cfRule>
  </conditionalFormatting>
  <conditionalFormatting sqref="W38">
    <cfRule type="expression" dxfId="108" priority="49">
      <formula>COUNTIF($D38:W38,"SIM")=1</formula>
    </cfRule>
    <cfRule type="expression" dxfId="107" priority="50">
      <formula>COUNTIF($D38:W38,"SIM")&gt;=2</formula>
    </cfRule>
  </conditionalFormatting>
  <conditionalFormatting sqref="AA5:AA49">
    <cfRule type="expression" dxfId="106" priority="47">
      <formula>COUNTIF($D5:AA5,"SIM")=1</formula>
    </cfRule>
    <cfRule type="expression" dxfId="105" priority="48">
      <formula>COUNTIF($D5:AA5,"SIM")&gt;=2</formula>
    </cfRule>
  </conditionalFormatting>
  <conditionalFormatting sqref="AE5:AE20">
    <cfRule type="expression" dxfId="104" priority="45">
      <formula>COUNTIF($D5:AE5,"SIM")=1</formula>
    </cfRule>
    <cfRule type="expression" dxfId="103" priority="46">
      <formula>COUNTIF($D5:AE5,"SIM")&gt;=2</formula>
    </cfRule>
  </conditionalFormatting>
  <conditionalFormatting sqref="AI5:AI49">
    <cfRule type="expression" dxfId="102" priority="43">
      <formula>COUNTIF($D5:AI5,"SIM")=1</formula>
    </cfRule>
    <cfRule type="expression" dxfId="101" priority="44">
      <formula>COUNTIF($D5:AI5,"SIM")&gt;=2</formula>
    </cfRule>
  </conditionalFormatting>
  <conditionalFormatting sqref="L49">
    <cfRule type="duplicateValues" dxfId="100" priority="42" stopIfTrue="1"/>
  </conditionalFormatting>
  <conditionalFormatting sqref="P49">
    <cfRule type="duplicateValues" dxfId="99" priority="41" stopIfTrue="1"/>
  </conditionalFormatting>
  <conditionalFormatting sqref="T49">
    <cfRule type="duplicateValues" dxfId="98" priority="40" stopIfTrue="1"/>
  </conditionalFormatting>
  <conditionalFormatting sqref="X49">
    <cfRule type="duplicateValues" dxfId="97" priority="39" stopIfTrue="1"/>
  </conditionalFormatting>
  <conditionalFormatting sqref="AB49">
    <cfRule type="duplicateValues" dxfId="96" priority="38" stopIfTrue="1"/>
  </conditionalFormatting>
  <conditionalFormatting sqref="AJ49">
    <cfRule type="duplicateValues" dxfId="95" priority="37" stopIfTrue="1"/>
  </conditionalFormatting>
  <conditionalFormatting sqref="AN49">
    <cfRule type="duplicateValues" dxfId="94" priority="36" stopIfTrue="1"/>
  </conditionalFormatting>
  <conditionalFormatting sqref="AR49">
    <cfRule type="duplicateValues" dxfId="93" priority="35" stopIfTrue="1"/>
  </conditionalFormatting>
  <conditionalFormatting sqref="AV49">
    <cfRule type="duplicateValues" dxfId="92" priority="34" stopIfTrue="1"/>
  </conditionalFormatting>
  <conditionalFormatting sqref="H5:H48">
    <cfRule type="duplicateValues" dxfId="91" priority="33" stopIfTrue="1"/>
  </conditionalFormatting>
  <conditionalFormatting sqref="L5:L48">
    <cfRule type="duplicateValues" dxfId="90" priority="32" stopIfTrue="1"/>
  </conditionalFormatting>
  <conditionalFormatting sqref="P5:P48">
    <cfRule type="duplicateValues" dxfId="89" priority="31" stopIfTrue="1"/>
  </conditionalFormatting>
  <conditionalFormatting sqref="T5:T48">
    <cfRule type="duplicateValues" dxfId="88" priority="30" stopIfTrue="1"/>
  </conditionalFormatting>
  <conditionalFormatting sqref="W34">
    <cfRule type="expression" dxfId="87" priority="28">
      <formula>COUNTIF($D34:W34,"SIM")=1</formula>
    </cfRule>
    <cfRule type="expression" dxfId="86" priority="29">
      <formula>COUNTIF($D34:W34,"SIM")&gt;=2</formula>
    </cfRule>
  </conditionalFormatting>
  <conditionalFormatting sqref="X5:X48">
    <cfRule type="duplicateValues" dxfId="85" priority="27" stopIfTrue="1"/>
  </conditionalFormatting>
  <conditionalFormatting sqref="W5:W33">
    <cfRule type="expression" dxfId="84" priority="25">
      <formula>COUNTIF($D5:W5,"SIM")=1</formula>
    </cfRule>
    <cfRule type="expression" dxfId="83" priority="26">
      <formula>COUNTIF($D5:W5,"SIM")&gt;=2</formula>
    </cfRule>
  </conditionalFormatting>
  <conditionalFormatting sqref="S5:S49">
    <cfRule type="expression" dxfId="82" priority="23">
      <formula>COUNTIF($D5:S5,"SIM")=1</formula>
    </cfRule>
    <cfRule type="expression" dxfId="81" priority="24">
      <formula>COUNTIF($D5:S5,"SIM")&gt;=2</formula>
    </cfRule>
  </conditionalFormatting>
  <conditionalFormatting sqref="O5:O49">
    <cfRule type="expression" dxfId="80" priority="21">
      <formula>COUNTIF($D5:O5,"SIM")=1</formula>
    </cfRule>
    <cfRule type="expression" dxfId="79" priority="22">
      <formula>COUNTIF($D5:O5,"SIM")&gt;=2</formula>
    </cfRule>
  </conditionalFormatting>
  <conditionalFormatting sqref="K5:K49">
    <cfRule type="expression" dxfId="78" priority="19">
      <formula>COUNTIF($D5:K5,"SIM")=1</formula>
    </cfRule>
    <cfRule type="expression" dxfId="77" priority="20">
      <formula>COUNTIF($D5:K5,"SIM")&gt;=2</formula>
    </cfRule>
  </conditionalFormatting>
  <conditionalFormatting sqref="G5:G49">
    <cfRule type="expression" dxfId="76" priority="17">
      <formula>COUNTIF($D5:G5,"SIM")=1</formula>
    </cfRule>
    <cfRule type="expression" dxfId="75" priority="18">
      <formula>COUNTIF($D5:G5,"SIM")&gt;=2</formula>
    </cfRule>
  </conditionalFormatting>
  <conditionalFormatting sqref="AB5:AB48">
    <cfRule type="duplicateValues" dxfId="74" priority="16" stopIfTrue="1"/>
  </conditionalFormatting>
  <conditionalFormatting sqref="AE21:AE48">
    <cfRule type="expression" dxfId="73" priority="14">
      <formula>COUNTIF($D21:AE21,"SIM")=1</formula>
    </cfRule>
    <cfRule type="expression" dxfId="72" priority="15">
      <formula>COUNTIF($D21:AE21,"SIM")&gt;=2</formula>
    </cfRule>
  </conditionalFormatting>
  <conditionalFormatting sqref="AF5:AF49">
    <cfRule type="duplicateValues" dxfId="71" priority="13" stopIfTrue="1"/>
  </conditionalFormatting>
  <conditionalFormatting sqref="AJ5:AJ48">
    <cfRule type="duplicateValues" dxfId="70" priority="12" stopIfTrue="1"/>
  </conditionalFormatting>
  <conditionalFormatting sqref="AM5:AM49">
    <cfRule type="expression" dxfId="69" priority="10">
      <formula>COUNTIF($D5:AM5,"SIM")=1</formula>
    </cfRule>
    <cfRule type="expression" dxfId="68" priority="11">
      <formula>COUNTIF($D5:AM5,"SIM")&gt;=2</formula>
    </cfRule>
  </conditionalFormatting>
  <conditionalFormatting sqref="AN5:AN48">
    <cfRule type="duplicateValues" dxfId="67" priority="9" stopIfTrue="1"/>
  </conditionalFormatting>
  <conditionalFormatting sqref="AQ5:AQ49">
    <cfRule type="expression" dxfId="66" priority="7">
      <formula>COUNTIF($D5:AQ5,"SIM")=1</formula>
    </cfRule>
    <cfRule type="expression" dxfId="65" priority="8">
      <formula>COUNTIF($D5:AQ5,"SIM")&gt;=2</formula>
    </cfRule>
  </conditionalFormatting>
  <conditionalFormatting sqref="AR5:AR48">
    <cfRule type="duplicateValues" dxfId="64" priority="6" stopIfTrue="1"/>
  </conditionalFormatting>
  <conditionalFormatting sqref="AU5:AU49">
    <cfRule type="expression" dxfId="63" priority="4">
      <formula>COUNTIF($D5:AU5,"SIM")=1</formula>
    </cfRule>
    <cfRule type="expression" dxfId="62" priority="5">
      <formula>COUNTIF($D5:AU5,"SIM")&gt;=2</formula>
    </cfRule>
  </conditionalFormatting>
  <conditionalFormatting sqref="AV5:AV48">
    <cfRule type="duplicateValues" dxfId="61" priority="3" stopIfTrue="1"/>
  </conditionalFormatting>
  <conditionalFormatting sqref="AY5:AY49">
    <cfRule type="expression" dxfId="60" priority="1">
      <formula>COUNTIF($D5:AY5,"SIM")=1</formula>
    </cfRule>
    <cfRule type="expression" dxfId="59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1902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616D9-85A6-4A87-989C-CCDF6FA26535}">
  <sheetPr codeName="Plan5"/>
  <dimension ref="A1:CN56"/>
  <sheetViews>
    <sheetView showGridLines="0" workbookViewId="0">
      <pane xSplit="3" ySplit="4" topLeftCell="AC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42578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 t="s">
        <v>99</v>
      </c>
      <c r="AL1" s="89"/>
      <c r="AM1" s="88"/>
      <c r="AN1" s="90"/>
      <c r="AO1" s="89" t="s">
        <v>99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41" t="s">
        <v>16</v>
      </c>
      <c r="E2" s="142"/>
      <c r="F2" s="143"/>
      <c r="G2" s="144"/>
      <c r="H2" s="141" t="s">
        <v>15</v>
      </c>
      <c r="I2" s="142"/>
      <c r="J2" s="143"/>
      <c r="K2" s="144"/>
      <c r="L2" s="141" t="s">
        <v>14</v>
      </c>
      <c r="M2" s="142"/>
      <c r="N2" s="143"/>
      <c r="O2" s="144"/>
      <c r="P2" s="141" t="s">
        <v>13</v>
      </c>
      <c r="Q2" s="142"/>
      <c r="R2" s="143"/>
      <c r="S2" s="144"/>
      <c r="T2" s="141" t="s">
        <v>12</v>
      </c>
      <c r="U2" s="142"/>
      <c r="V2" s="143"/>
      <c r="W2" s="144"/>
      <c r="X2" s="141" t="s">
        <v>11</v>
      </c>
      <c r="Y2" s="142"/>
      <c r="Z2" s="143"/>
      <c r="AA2" s="144"/>
      <c r="AB2" s="141" t="s">
        <v>10</v>
      </c>
      <c r="AC2" s="142"/>
      <c r="AD2" s="143"/>
      <c r="AE2" s="144"/>
      <c r="AF2" s="141" t="s">
        <v>9</v>
      </c>
      <c r="AG2" s="142"/>
      <c r="AH2" s="143"/>
      <c r="AI2" s="144"/>
      <c r="AJ2" s="141" t="s">
        <v>8</v>
      </c>
      <c r="AK2" s="142"/>
      <c r="AL2" s="143"/>
      <c r="AM2" s="144"/>
      <c r="AN2" s="141" t="s">
        <v>7</v>
      </c>
      <c r="AO2" s="142"/>
      <c r="AP2" s="143"/>
      <c r="AQ2" s="144"/>
      <c r="AR2" s="141" t="s">
        <v>6</v>
      </c>
      <c r="AS2" s="142"/>
      <c r="AT2" s="143"/>
      <c r="AU2" s="144"/>
      <c r="AV2" s="141" t="s">
        <v>5</v>
      </c>
      <c r="AW2" s="142"/>
      <c r="AX2" s="143"/>
      <c r="AY2" s="14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5">
        <v>46061</v>
      </c>
      <c r="E3" s="146"/>
      <c r="F3" s="146"/>
      <c r="G3" s="147"/>
      <c r="H3" s="145">
        <v>46093</v>
      </c>
      <c r="I3" s="146"/>
      <c r="J3" s="146"/>
      <c r="K3" s="147"/>
      <c r="L3" s="145">
        <v>46128</v>
      </c>
      <c r="M3" s="146"/>
      <c r="N3" s="146"/>
      <c r="O3" s="147"/>
      <c r="P3" s="145">
        <v>46142</v>
      </c>
      <c r="Q3" s="146"/>
      <c r="R3" s="146"/>
      <c r="S3" s="147"/>
      <c r="T3" s="145">
        <v>46142</v>
      </c>
      <c r="U3" s="146"/>
      <c r="V3" s="146"/>
      <c r="W3" s="147"/>
      <c r="X3" s="145">
        <v>46198</v>
      </c>
      <c r="Y3" s="146"/>
      <c r="Z3" s="146"/>
      <c r="AA3" s="147"/>
      <c r="AB3" s="145">
        <v>46212</v>
      </c>
      <c r="AC3" s="146"/>
      <c r="AD3" s="146"/>
      <c r="AE3" s="147"/>
      <c r="AF3" s="145">
        <v>46247</v>
      </c>
      <c r="AG3" s="146"/>
      <c r="AH3" s="146"/>
      <c r="AI3" s="147"/>
      <c r="AJ3" s="145">
        <v>46275</v>
      </c>
      <c r="AK3" s="146"/>
      <c r="AL3" s="146"/>
      <c r="AM3" s="147"/>
      <c r="AN3" s="145">
        <v>46303</v>
      </c>
      <c r="AO3" s="146"/>
      <c r="AP3" s="146"/>
      <c r="AQ3" s="147"/>
      <c r="AR3" s="145"/>
      <c r="AS3" s="146"/>
      <c r="AT3" s="146"/>
      <c r="AU3" s="147"/>
      <c r="AV3" s="145"/>
      <c r="AW3" s="146"/>
      <c r="AX3" s="146"/>
      <c r="AY3" s="14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85</v>
      </c>
      <c r="C5" s="75">
        <v>132</v>
      </c>
      <c r="D5" s="111" t="s">
        <v>65</v>
      </c>
      <c r="E5" s="110" t="s">
        <v>105</v>
      </c>
      <c r="F5" s="109"/>
      <c r="G5" s="108">
        <v>-3</v>
      </c>
      <c r="H5" s="111">
        <v>7</v>
      </c>
      <c r="I5" s="110" t="s">
        <v>106</v>
      </c>
      <c r="J5" s="109">
        <v>1</v>
      </c>
      <c r="K5" s="108" t="s">
        <v>65</v>
      </c>
      <c r="L5" s="62">
        <v>1</v>
      </c>
      <c r="M5" s="68">
        <v>20</v>
      </c>
      <c r="N5" s="67">
        <v>1</v>
      </c>
      <c r="O5" s="66">
        <v>-1</v>
      </c>
      <c r="P5" s="62">
        <v>1</v>
      </c>
      <c r="Q5" s="68">
        <v>20</v>
      </c>
      <c r="R5" s="67">
        <v>0</v>
      </c>
      <c r="S5" s="66" t="s">
        <v>65</v>
      </c>
      <c r="T5" s="62">
        <v>11</v>
      </c>
      <c r="U5" s="68">
        <v>5</v>
      </c>
      <c r="V5" s="67">
        <v>1</v>
      </c>
      <c r="W5" s="66" t="s">
        <v>102</v>
      </c>
      <c r="X5" s="62">
        <v>1</v>
      </c>
      <c r="Y5" s="68">
        <v>20</v>
      </c>
      <c r="Z5" s="67">
        <v>0</v>
      </c>
      <c r="AA5" s="66" t="s">
        <v>65</v>
      </c>
      <c r="AB5" s="62">
        <v>2</v>
      </c>
      <c r="AC5" s="68">
        <v>17</v>
      </c>
      <c r="AD5" s="67">
        <v>0</v>
      </c>
      <c r="AE5" s="66">
        <v>-1</v>
      </c>
      <c r="AF5" s="62">
        <v>1</v>
      </c>
      <c r="AG5" s="68">
        <v>20</v>
      </c>
      <c r="AH5" s="67">
        <v>0</v>
      </c>
      <c r="AI5" s="66" t="s">
        <v>65</v>
      </c>
      <c r="AJ5" s="62">
        <v>2</v>
      </c>
      <c r="AK5" s="68">
        <v>17</v>
      </c>
      <c r="AL5" s="67">
        <v>0</v>
      </c>
      <c r="AM5" s="66" t="s">
        <v>65</v>
      </c>
      <c r="AN5" s="62">
        <v>3</v>
      </c>
      <c r="AO5" s="68">
        <v>15</v>
      </c>
      <c r="AP5" s="67">
        <v>0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4</v>
      </c>
      <c r="BA5" s="4">
        <v>2</v>
      </c>
      <c r="BB5" s="4">
        <v>1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98</v>
      </c>
      <c r="C6" s="72">
        <v>122</v>
      </c>
      <c r="D6" s="62">
        <v>1</v>
      </c>
      <c r="E6" s="68">
        <v>20</v>
      </c>
      <c r="F6" s="67"/>
      <c r="G6" s="66" t="s">
        <v>65</v>
      </c>
      <c r="H6" s="62">
        <v>2</v>
      </c>
      <c r="I6" s="68">
        <v>17</v>
      </c>
      <c r="J6" s="67"/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4</v>
      </c>
      <c r="Q6" s="68">
        <v>13</v>
      </c>
      <c r="R6" s="67">
        <v>0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4</v>
      </c>
      <c r="Y6" s="68">
        <v>13</v>
      </c>
      <c r="Z6" s="67">
        <v>0</v>
      </c>
      <c r="AA6" s="66" t="s">
        <v>65</v>
      </c>
      <c r="AB6" s="62">
        <v>4</v>
      </c>
      <c r="AC6" s="68">
        <v>13</v>
      </c>
      <c r="AD6" s="67">
        <v>0</v>
      </c>
      <c r="AE6" s="66" t="s">
        <v>65</v>
      </c>
      <c r="AF6" s="111">
        <v>13</v>
      </c>
      <c r="AG6" s="110" t="s">
        <v>109</v>
      </c>
      <c r="AH6" s="109">
        <v>0</v>
      </c>
      <c r="AI6" s="108" t="s">
        <v>65</v>
      </c>
      <c r="AJ6" s="111">
        <v>7</v>
      </c>
      <c r="AK6" s="110" t="s">
        <v>106</v>
      </c>
      <c r="AL6" s="109">
        <v>0</v>
      </c>
      <c r="AM6" s="108" t="s">
        <v>65</v>
      </c>
      <c r="AN6" s="62">
        <v>1</v>
      </c>
      <c r="AO6" s="68">
        <v>20</v>
      </c>
      <c r="AP6" s="67">
        <v>0</v>
      </c>
      <c r="AQ6" s="107"/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5</v>
      </c>
      <c r="BD6" s="4">
        <v>0</v>
      </c>
      <c r="BE6" s="4">
        <v>0</v>
      </c>
      <c r="BF6" s="4">
        <v>1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1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95</v>
      </c>
      <c r="C7" s="72">
        <v>98</v>
      </c>
      <c r="D7" s="62">
        <v>4</v>
      </c>
      <c r="E7" s="68">
        <v>13</v>
      </c>
      <c r="F7" s="67"/>
      <c r="G7" s="66" t="s">
        <v>65</v>
      </c>
      <c r="H7" s="62">
        <v>1</v>
      </c>
      <c r="I7" s="68">
        <v>20</v>
      </c>
      <c r="J7" s="67"/>
      <c r="K7" s="66" t="s">
        <v>65</v>
      </c>
      <c r="L7" s="62">
        <v>6</v>
      </c>
      <c r="M7" s="68">
        <v>10</v>
      </c>
      <c r="N7" s="67">
        <v>0</v>
      </c>
      <c r="O7" s="66" t="s">
        <v>65</v>
      </c>
      <c r="P7" s="111" t="s">
        <v>65</v>
      </c>
      <c r="Q7" s="110" t="s">
        <v>105</v>
      </c>
      <c r="R7" s="109" t="s">
        <v>65</v>
      </c>
      <c r="S7" s="108" t="s">
        <v>65</v>
      </c>
      <c r="T7" s="62">
        <v>8</v>
      </c>
      <c r="U7" s="68">
        <v>8</v>
      </c>
      <c r="V7" s="67">
        <v>0</v>
      </c>
      <c r="W7" s="66" t="s">
        <v>65</v>
      </c>
      <c r="X7" s="111" t="s">
        <v>65</v>
      </c>
      <c r="Y7" s="110" t="s">
        <v>105</v>
      </c>
      <c r="Z7" s="109" t="s">
        <v>65</v>
      </c>
      <c r="AA7" s="108" t="s">
        <v>65</v>
      </c>
      <c r="AB7" s="62">
        <v>7</v>
      </c>
      <c r="AC7" s="68">
        <v>9</v>
      </c>
      <c r="AD7" s="67">
        <v>0</v>
      </c>
      <c r="AE7" s="66" t="s">
        <v>65</v>
      </c>
      <c r="AF7" s="62">
        <v>10</v>
      </c>
      <c r="AG7" s="68">
        <v>6</v>
      </c>
      <c r="AH7" s="67">
        <v>0</v>
      </c>
      <c r="AI7" s="66" t="s">
        <v>65</v>
      </c>
      <c r="AJ7" s="62">
        <v>3</v>
      </c>
      <c r="AK7" s="68">
        <v>15</v>
      </c>
      <c r="AL7" s="67">
        <v>0</v>
      </c>
      <c r="AM7" s="66" t="s">
        <v>65</v>
      </c>
      <c r="AN7" s="62">
        <v>2</v>
      </c>
      <c r="AO7" s="68">
        <v>17</v>
      </c>
      <c r="AP7" s="67">
        <v>0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1</v>
      </c>
      <c r="BC7" s="4">
        <v>1</v>
      </c>
      <c r="BD7" s="4">
        <v>0</v>
      </c>
      <c r="BE7" s="4">
        <v>1</v>
      </c>
      <c r="BF7" s="4">
        <v>1</v>
      </c>
      <c r="BG7" s="4">
        <v>1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89</v>
      </c>
      <c r="C8" s="72">
        <v>90</v>
      </c>
      <c r="D8" s="62">
        <v>15</v>
      </c>
      <c r="E8" s="68">
        <v>1</v>
      </c>
      <c r="F8" s="67"/>
      <c r="G8" s="66" t="s">
        <v>102</v>
      </c>
      <c r="H8" s="111" t="s">
        <v>65</v>
      </c>
      <c r="I8" s="110" t="s">
        <v>105</v>
      </c>
      <c r="J8" s="109"/>
      <c r="K8" s="108">
        <v>-1</v>
      </c>
      <c r="L8" s="62">
        <v>2</v>
      </c>
      <c r="M8" s="68">
        <v>17</v>
      </c>
      <c r="N8" s="67">
        <v>0</v>
      </c>
      <c r="O8" s="66" t="s">
        <v>65</v>
      </c>
      <c r="P8" s="111" t="s">
        <v>65</v>
      </c>
      <c r="Q8" s="110" t="s">
        <v>105</v>
      </c>
      <c r="R8" s="109" t="s">
        <v>65</v>
      </c>
      <c r="S8" s="108" t="s">
        <v>65</v>
      </c>
      <c r="T8" s="62">
        <v>2</v>
      </c>
      <c r="U8" s="68">
        <v>17</v>
      </c>
      <c r="V8" s="67">
        <v>0</v>
      </c>
      <c r="W8" s="66" t="s">
        <v>65</v>
      </c>
      <c r="X8" s="62">
        <v>3</v>
      </c>
      <c r="Y8" s="68">
        <v>15</v>
      </c>
      <c r="Z8" s="67">
        <v>0</v>
      </c>
      <c r="AA8" s="66" t="s">
        <v>65</v>
      </c>
      <c r="AB8" s="62">
        <v>10</v>
      </c>
      <c r="AC8" s="68">
        <v>6</v>
      </c>
      <c r="AD8" s="67">
        <v>0</v>
      </c>
      <c r="AE8" s="66" t="s">
        <v>65</v>
      </c>
      <c r="AF8" s="62">
        <v>5</v>
      </c>
      <c r="AG8" s="68">
        <v>11</v>
      </c>
      <c r="AH8" s="67">
        <v>0</v>
      </c>
      <c r="AI8" s="66" t="s">
        <v>65</v>
      </c>
      <c r="AJ8" s="62">
        <v>4</v>
      </c>
      <c r="AK8" s="68">
        <v>13</v>
      </c>
      <c r="AL8" s="67">
        <v>0</v>
      </c>
      <c r="AM8" s="66" t="s">
        <v>65</v>
      </c>
      <c r="AN8" s="62">
        <v>5</v>
      </c>
      <c r="AO8" s="68">
        <v>11</v>
      </c>
      <c r="AP8" s="67">
        <v>0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2</v>
      </c>
      <c r="BB8" s="4">
        <v>1</v>
      </c>
      <c r="BC8" s="4">
        <v>1</v>
      </c>
      <c r="BD8" s="4">
        <v>2</v>
      </c>
      <c r="BE8" s="4">
        <v>0</v>
      </c>
      <c r="BF8" s="4">
        <v>0</v>
      </c>
      <c r="BG8" s="4">
        <v>0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1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97</v>
      </c>
      <c r="C9" s="72">
        <v>88</v>
      </c>
      <c r="D9" s="62">
        <v>2</v>
      </c>
      <c r="E9" s="68">
        <v>17</v>
      </c>
      <c r="F9" s="67">
        <v>1</v>
      </c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8</v>
      </c>
      <c r="M9" s="68">
        <v>8</v>
      </c>
      <c r="N9" s="67">
        <v>0</v>
      </c>
      <c r="O9" s="66" t="s">
        <v>65</v>
      </c>
      <c r="P9" s="62">
        <v>3</v>
      </c>
      <c r="Q9" s="68">
        <v>15</v>
      </c>
      <c r="R9" s="67">
        <v>0</v>
      </c>
      <c r="S9" s="66" t="s">
        <v>65</v>
      </c>
      <c r="T9" s="62">
        <v>5</v>
      </c>
      <c r="U9" s="68">
        <v>11</v>
      </c>
      <c r="V9" s="67">
        <v>0</v>
      </c>
      <c r="W9" s="66" t="s">
        <v>65</v>
      </c>
      <c r="X9" s="111" t="s">
        <v>65</v>
      </c>
      <c r="Y9" s="110" t="s">
        <v>105</v>
      </c>
      <c r="Z9" s="109" t="s">
        <v>65</v>
      </c>
      <c r="AA9" s="108" t="s">
        <v>65</v>
      </c>
      <c r="AB9" s="111">
        <v>13</v>
      </c>
      <c r="AC9" s="110" t="s">
        <v>109</v>
      </c>
      <c r="AD9" s="109">
        <v>0</v>
      </c>
      <c r="AE9" s="108" t="s">
        <v>65</v>
      </c>
      <c r="AF9" s="62">
        <v>11</v>
      </c>
      <c r="AG9" s="68">
        <v>5</v>
      </c>
      <c r="AH9" s="67">
        <v>0</v>
      </c>
      <c r="AI9" s="66" t="s">
        <v>65</v>
      </c>
      <c r="AJ9" s="62">
        <v>5</v>
      </c>
      <c r="AK9" s="68">
        <v>11</v>
      </c>
      <c r="AL9" s="67">
        <v>0</v>
      </c>
      <c r="AM9" s="66" t="s">
        <v>65</v>
      </c>
      <c r="AN9" s="62">
        <v>9</v>
      </c>
      <c r="AO9" s="68">
        <v>7</v>
      </c>
      <c r="AP9" s="67">
        <v>0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1</v>
      </c>
      <c r="BD9" s="4">
        <v>2</v>
      </c>
      <c r="BE9" s="4">
        <v>0</v>
      </c>
      <c r="BF9" s="4">
        <v>0</v>
      </c>
      <c r="BG9" s="4">
        <v>1</v>
      </c>
      <c r="BH9" s="4">
        <v>1</v>
      </c>
      <c r="BI9" s="4">
        <v>0</v>
      </c>
      <c r="BJ9" s="4">
        <v>1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96</v>
      </c>
      <c r="C10" s="72">
        <v>84</v>
      </c>
      <c r="D10" s="62">
        <v>3</v>
      </c>
      <c r="E10" s="68">
        <v>15</v>
      </c>
      <c r="F10" s="67"/>
      <c r="G10" s="66" t="s">
        <v>65</v>
      </c>
      <c r="H10" s="111" t="s">
        <v>65</v>
      </c>
      <c r="I10" s="110" t="s">
        <v>105</v>
      </c>
      <c r="J10" s="109"/>
      <c r="K10" s="108">
        <v>-1</v>
      </c>
      <c r="L10" s="62">
        <v>15</v>
      </c>
      <c r="M10" s="68">
        <v>1</v>
      </c>
      <c r="N10" s="67">
        <v>0</v>
      </c>
      <c r="O10" s="66" t="s">
        <v>102</v>
      </c>
      <c r="P10" s="62">
        <v>8</v>
      </c>
      <c r="Q10" s="68">
        <v>8</v>
      </c>
      <c r="R10" s="67">
        <v>0</v>
      </c>
      <c r="S10" s="66" t="s">
        <v>65</v>
      </c>
      <c r="T10" s="111">
        <v>10</v>
      </c>
      <c r="U10" s="110" t="s">
        <v>108</v>
      </c>
      <c r="V10" s="109">
        <v>0</v>
      </c>
      <c r="W10" s="108" t="s">
        <v>65</v>
      </c>
      <c r="X10" s="62">
        <v>5</v>
      </c>
      <c r="Y10" s="68">
        <v>11</v>
      </c>
      <c r="Z10" s="67">
        <v>0</v>
      </c>
      <c r="AA10" s="66" t="s">
        <v>65</v>
      </c>
      <c r="AB10" s="62">
        <v>5</v>
      </c>
      <c r="AC10" s="68">
        <v>11</v>
      </c>
      <c r="AD10" s="67">
        <v>0</v>
      </c>
      <c r="AE10" s="66"/>
      <c r="AF10" s="62">
        <v>2</v>
      </c>
      <c r="AG10" s="68">
        <v>17</v>
      </c>
      <c r="AH10" s="67">
        <v>0</v>
      </c>
      <c r="AI10" s="66" t="s">
        <v>65</v>
      </c>
      <c r="AJ10" s="62">
        <v>1</v>
      </c>
      <c r="AK10" s="68">
        <v>20</v>
      </c>
      <c r="AL10" s="67">
        <v>1</v>
      </c>
      <c r="AM10" s="66" t="s">
        <v>65</v>
      </c>
      <c r="AN10" s="62">
        <v>23</v>
      </c>
      <c r="AO10" s="68">
        <v>1</v>
      </c>
      <c r="AP10" s="67">
        <v>0</v>
      </c>
      <c r="AQ10" s="66" t="s">
        <v>102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1</v>
      </c>
      <c r="BB10" s="4">
        <v>1</v>
      </c>
      <c r="BC10" s="4">
        <v>0</v>
      </c>
      <c r="BD10" s="4">
        <v>2</v>
      </c>
      <c r="BE10" s="4">
        <v>0</v>
      </c>
      <c r="BF10" s="4">
        <v>0</v>
      </c>
      <c r="BG10" s="4">
        <v>1</v>
      </c>
      <c r="BH10" s="4">
        <v>0</v>
      </c>
      <c r="BI10" s="4">
        <v>1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1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83</v>
      </c>
      <c r="C11" s="72">
        <v>79</v>
      </c>
      <c r="D11" s="111" t="s">
        <v>65</v>
      </c>
      <c r="E11" s="110" t="s">
        <v>105</v>
      </c>
      <c r="F11" s="109"/>
      <c r="G11" s="108" t="s">
        <v>65</v>
      </c>
      <c r="H11" s="111" t="s">
        <v>65</v>
      </c>
      <c r="I11" s="110" t="s">
        <v>105</v>
      </c>
      <c r="J11" s="109"/>
      <c r="K11" s="108">
        <v>-1</v>
      </c>
      <c r="L11" s="62">
        <v>3</v>
      </c>
      <c r="M11" s="68">
        <v>15</v>
      </c>
      <c r="N11" s="67">
        <v>0</v>
      </c>
      <c r="O11" s="66" t="s">
        <v>65</v>
      </c>
      <c r="P11" s="62">
        <v>2</v>
      </c>
      <c r="Q11" s="68">
        <v>17</v>
      </c>
      <c r="R11" s="67">
        <v>1</v>
      </c>
      <c r="S11" s="66" t="s">
        <v>65</v>
      </c>
      <c r="T11" s="62">
        <v>3</v>
      </c>
      <c r="U11" s="68">
        <v>15</v>
      </c>
      <c r="V11" s="67">
        <v>0</v>
      </c>
      <c r="W11" s="66" t="s">
        <v>65</v>
      </c>
      <c r="X11" s="62">
        <v>2</v>
      </c>
      <c r="Y11" s="68">
        <v>17</v>
      </c>
      <c r="Z11" s="67">
        <v>0</v>
      </c>
      <c r="AA11" s="107" t="s">
        <v>65</v>
      </c>
      <c r="AB11" s="62">
        <v>9</v>
      </c>
      <c r="AC11" s="68">
        <v>7</v>
      </c>
      <c r="AD11" s="67">
        <v>1</v>
      </c>
      <c r="AE11" s="66" t="s">
        <v>65</v>
      </c>
      <c r="AF11" s="62">
        <v>9</v>
      </c>
      <c r="AG11" s="68">
        <v>7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2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2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86</v>
      </c>
      <c r="C12" s="72">
        <v>66</v>
      </c>
      <c r="D12" s="62">
        <v>0</v>
      </c>
      <c r="E12" s="68">
        <v>0</v>
      </c>
      <c r="F12" s="67"/>
      <c r="G12" s="66" t="s">
        <v>65</v>
      </c>
      <c r="H12" s="111" t="s">
        <v>65</v>
      </c>
      <c r="I12" s="110" t="s">
        <v>105</v>
      </c>
      <c r="J12" s="109"/>
      <c r="K12" s="108">
        <v>-3</v>
      </c>
      <c r="L12" s="62">
        <v>11</v>
      </c>
      <c r="M12" s="68">
        <v>5</v>
      </c>
      <c r="N12" s="67">
        <v>0</v>
      </c>
      <c r="O12" s="66" t="s">
        <v>65</v>
      </c>
      <c r="P12" s="62">
        <v>6</v>
      </c>
      <c r="Q12" s="68">
        <v>10</v>
      </c>
      <c r="R12" s="67">
        <v>0</v>
      </c>
      <c r="S12" s="66" t="s">
        <v>65</v>
      </c>
      <c r="T12" s="62">
        <v>1</v>
      </c>
      <c r="U12" s="68">
        <v>20</v>
      </c>
      <c r="V12" s="67">
        <v>0</v>
      </c>
      <c r="W12" s="66" t="s">
        <v>65</v>
      </c>
      <c r="X12" s="111" t="s">
        <v>65</v>
      </c>
      <c r="Y12" s="110" t="s">
        <v>105</v>
      </c>
      <c r="Z12" s="109" t="s">
        <v>65</v>
      </c>
      <c r="AA12" s="108">
        <v>-1</v>
      </c>
      <c r="AB12" s="62">
        <v>3</v>
      </c>
      <c r="AC12" s="68">
        <v>15</v>
      </c>
      <c r="AD12" s="67">
        <v>0</v>
      </c>
      <c r="AE12" s="66" t="s">
        <v>65</v>
      </c>
      <c r="AF12" s="62">
        <v>6</v>
      </c>
      <c r="AG12" s="68">
        <v>10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>
        <v>-1</v>
      </c>
      <c r="AN12" s="62">
        <v>6</v>
      </c>
      <c r="AO12" s="68">
        <v>10</v>
      </c>
      <c r="AP12" s="67">
        <v>1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1</v>
      </c>
      <c r="BA12" s="4">
        <v>0</v>
      </c>
      <c r="BB12" s="4">
        <v>1</v>
      </c>
      <c r="BC12" s="4">
        <v>0</v>
      </c>
      <c r="BD12" s="4">
        <v>0</v>
      </c>
      <c r="BE12" s="4">
        <v>3</v>
      </c>
      <c r="BF12" s="4">
        <v>0</v>
      </c>
      <c r="BG12" s="4">
        <v>0</v>
      </c>
      <c r="BH12" s="4">
        <v>0</v>
      </c>
      <c r="BI12" s="4">
        <v>0</v>
      </c>
      <c r="BJ12" s="4">
        <v>1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103</v>
      </c>
      <c r="C13" s="72">
        <v>66</v>
      </c>
      <c r="D13" s="111" t="s">
        <v>65</v>
      </c>
      <c r="E13" s="110" t="s">
        <v>105</v>
      </c>
      <c r="F13" s="109"/>
      <c r="G13" s="108" t="s">
        <v>65</v>
      </c>
      <c r="H13" s="62">
        <v>6</v>
      </c>
      <c r="I13" s="68">
        <v>10</v>
      </c>
      <c r="J13" s="67"/>
      <c r="K13" s="66" t="s">
        <v>65</v>
      </c>
      <c r="L13" s="62">
        <v>10</v>
      </c>
      <c r="M13" s="68">
        <v>6</v>
      </c>
      <c r="N13" s="67">
        <v>0</v>
      </c>
      <c r="O13" s="66" t="s">
        <v>65</v>
      </c>
      <c r="P13" s="111" t="s">
        <v>65</v>
      </c>
      <c r="Q13" s="110" t="s">
        <v>105</v>
      </c>
      <c r="R13" s="109" t="s">
        <v>65</v>
      </c>
      <c r="S13" s="108">
        <v>-1</v>
      </c>
      <c r="T13" s="62">
        <v>22</v>
      </c>
      <c r="U13" s="68">
        <v>1</v>
      </c>
      <c r="V13" s="67">
        <v>0</v>
      </c>
      <c r="W13" s="66" t="s">
        <v>102</v>
      </c>
      <c r="X13" s="62">
        <v>7</v>
      </c>
      <c r="Y13" s="68">
        <v>9</v>
      </c>
      <c r="Z13" s="67">
        <v>1</v>
      </c>
      <c r="AA13" s="66" t="s">
        <v>65</v>
      </c>
      <c r="AB13" s="62">
        <v>1</v>
      </c>
      <c r="AC13" s="68">
        <v>20</v>
      </c>
      <c r="AD13" s="67">
        <v>0</v>
      </c>
      <c r="AE13" s="66" t="s">
        <v>65</v>
      </c>
      <c r="AF13" s="62">
        <v>8</v>
      </c>
      <c r="AG13" s="68">
        <v>8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>
        <v>-1</v>
      </c>
      <c r="AN13" s="62">
        <v>4</v>
      </c>
      <c r="AO13" s="68">
        <v>13</v>
      </c>
      <c r="AP13" s="67">
        <v>0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1</v>
      </c>
      <c r="BD13" s="4">
        <v>0</v>
      </c>
      <c r="BE13" s="4">
        <v>1</v>
      </c>
      <c r="BF13" s="4">
        <v>1</v>
      </c>
      <c r="BG13" s="4">
        <v>1</v>
      </c>
      <c r="BH13" s="4">
        <v>0</v>
      </c>
      <c r="BI13" s="4">
        <v>1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1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88</v>
      </c>
      <c r="C14" s="72">
        <v>64</v>
      </c>
      <c r="D14" s="62">
        <v>16</v>
      </c>
      <c r="E14" s="68">
        <v>1</v>
      </c>
      <c r="F14" s="67"/>
      <c r="G14" s="66" t="s">
        <v>102</v>
      </c>
      <c r="H14" s="111">
        <v>8</v>
      </c>
      <c r="I14" s="110" t="s">
        <v>107</v>
      </c>
      <c r="J14" s="109"/>
      <c r="K14" s="108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111" t="s">
        <v>65</v>
      </c>
      <c r="AC14" s="110" t="s">
        <v>105</v>
      </c>
      <c r="AD14" s="109" t="s">
        <v>65</v>
      </c>
      <c r="AE14" s="108">
        <v>-1</v>
      </c>
      <c r="AF14" s="62">
        <v>3</v>
      </c>
      <c r="AG14" s="68">
        <v>15</v>
      </c>
      <c r="AH14" s="67">
        <v>1</v>
      </c>
      <c r="AI14" s="66" t="s">
        <v>65</v>
      </c>
      <c r="AJ14" s="62">
        <v>6</v>
      </c>
      <c r="AK14" s="68">
        <v>10</v>
      </c>
      <c r="AL14" s="67">
        <v>0</v>
      </c>
      <c r="AM14" s="66" t="s">
        <v>65</v>
      </c>
      <c r="AN14" s="62">
        <v>8</v>
      </c>
      <c r="AO14" s="68">
        <v>8</v>
      </c>
      <c r="AP14" s="67">
        <v>0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1</v>
      </c>
      <c r="BE14" s="4">
        <v>1</v>
      </c>
      <c r="BF14" s="4">
        <v>2</v>
      </c>
      <c r="BG14" s="4">
        <v>2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92</v>
      </c>
      <c r="C15" s="72">
        <v>59</v>
      </c>
      <c r="D15" s="62">
        <v>6</v>
      </c>
      <c r="E15" s="68">
        <v>10</v>
      </c>
      <c r="F15" s="67"/>
      <c r="G15" s="66" t="s">
        <v>65</v>
      </c>
      <c r="H15" s="62">
        <v>5</v>
      </c>
      <c r="I15" s="68">
        <v>11</v>
      </c>
      <c r="J15" s="67"/>
      <c r="K15" s="66" t="s">
        <v>65</v>
      </c>
      <c r="L15" s="62">
        <v>7</v>
      </c>
      <c r="M15" s="68">
        <v>9</v>
      </c>
      <c r="N15" s="67">
        <v>0</v>
      </c>
      <c r="O15" s="66" t="s">
        <v>65</v>
      </c>
      <c r="P15" s="111" t="s">
        <v>65</v>
      </c>
      <c r="Q15" s="110" t="s">
        <v>105</v>
      </c>
      <c r="R15" s="109" t="s">
        <v>65</v>
      </c>
      <c r="S15" s="108" t="s">
        <v>65</v>
      </c>
      <c r="T15" s="62">
        <v>6</v>
      </c>
      <c r="U15" s="68">
        <v>10</v>
      </c>
      <c r="V15" s="67">
        <v>0</v>
      </c>
      <c r="W15" s="66" t="s">
        <v>65</v>
      </c>
      <c r="X15" s="111" t="s">
        <v>65</v>
      </c>
      <c r="Y15" s="110" t="s">
        <v>105</v>
      </c>
      <c r="Z15" s="109" t="s">
        <v>65</v>
      </c>
      <c r="AA15" s="108" t="s">
        <v>65</v>
      </c>
      <c r="AB15" s="62">
        <v>6</v>
      </c>
      <c r="AC15" s="68">
        <v>10</v>
      </c>
      <c r="AD15" s="67">
        <v>0</v>
      </c>
      <c r="AE15" s="66" t="s">
        <v>65</v>
      </c>
      <c r="AF15" s="62">
        <v>7</v>
      </c>
      <c r="AG15" s="68">
        <v>9</v>
      </c>
      <c r="AH15" s="67">
        <v>0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1</v>
      </c>
      <c r="BE15" s="4">
        <v>3</v>
      </c>
      <c r="BF15" s="4">
        <v>2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84</v>
      </c>
      <c r="C16" s="72">
        <v>57</v>
      </c>
      <c r="D16" s="111" t="s">
        <v>65</v>
      </c>
      <c r="E16" s="110" t="s">
        <v>105</v>
      </c>
      <c r="F16" s="109"/>
      <c r="G16" s="108" t="s">
        <v>65</v>
      </c>
      <c r="H16" s="62">
        <v>3</v>
      </c>
      <c r="I16" s="68">
        <v>15</v>
      </c>
      <c r="J16" s="67"/>
      <c r="K16" s="66" t="s">
        <v>65</v>
      </c>
      <c r="L16" s="62">
        <v>13</v>
      </c>
      <c r="M16" s="68">
        <v>3</v>
      </c>
      <c r="N16" s="67">
        <v>0</v>
      </c>
      <c r="O16" s="66" t="s">
        <v>65</v>
      </c>
      <c r="P16" s="62">
        <v>5</v>
      </c>
      <c r="Q16" s="68">
        <v>11</v>
      </c>
      <c r="R16" s="67">
        <v>0</v>
      </c>
      <c r="S16" s="66" t="s">
        <v>65</v>
      </c>
      <c r="T16" s="62">
        <v>9</v>
      </c>
      <c r="U16" s="68">
        <v>7</v>
      </c>
      <c r="V16" s="67">
        <v>0</v>
      </c>
      <c r="W16" s="66" t="s">
        <v>65</v>
      </c>
      <c r="X16" s="111" t="s">
        <v>65</v>
      </c>
      <c r="Y16" s="110" t="s">
        <v>105</v>
      </c>
      <c r="Z16" s="109" t="s">
        <v>65</v>
      </c>
      <c r="AA16" s="108" t="s">
        <v>65</v>
      </c>
      <c r="AB16" s="62">
        <v>8</v>
      </c>
      <c r="AC16" s="68">
        <v>8</v>
      </c>
      <c r="AD16" s="67">
        <v>0</v>
      </c>
      <c r="AE16" s="66" t="s">
        <v>65</v>
      </c>
      <c r="AF16" s="62">
        <v>4</v>
      </c>
      <c r="AG16" s="68">
        <v>13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1</v>
      </c>
      <c r="BD16" s="4">
        <v>1</v>
      </c>
      <c r="BE16" s="4">
        <v>0</v>
      </c>
      <c r="BF16" s="4">
        <v>0</v>
      </c>
      <c r="BG16" s="4">
        <v>1</v>
      </c>
      <c r="BH16" s="4">
        <v>1</v>
      </c>
      <c r="BI16" s="4">
        <v>0</v>
      </c>
      <c r="BJ16" s="4">
        <v>0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91</v>
      </c>
      <c r="C17" s="72">
        <v>47</v>
      </c>
      <c r="D17" s="62">
        <v>7</v>
      </c>
      <c r="E17" s="68">
        <v>9</v>
      </c>
      <c r="F17" s="67"/>
      <c r="G17" s="66" t="s">
        <v>65</v>
      </c>
      <c r="H17" s="111" t="s">
        <v>65</v>
      </c>
      <c r="I17" s="110" t="s">
        <v>105</v>
      </c>
      <c r="J17" s="109"/>
      <c r="K17" s="108">
        <v>-1</v>
      </c>
      <c r="L17" s="62">
        <v>9</v>
      </c>
      <c r="M17" s="68">
        <v>7</v>
      </c>
      <c r="N17" s="67">
        <v>0</v>
      </c>
      <c r="O17" s="66" t="s">
        <v>65</v>
      </c>
      <c r="P17" s="62">
        <v>10</v>
      </c>
      <c r="Q17" s="68">
        <v>6</v>
      </c>
      <c r="R17" s="67">
        <v>0</v>
      </c>
      <c r="S17" s="66" t="s">
        <v>65</v>
      </c>
      <c r="T17" s="62">
        <v>12</v>
      </c>
      <c r="U17" s="68">
        <v>4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111" t="s">
        <v>65</v>
      </c>
      <c r="AC17" s="110" t="s">
        <v>105</v>
      </c>
      <c r="AD17" s="109" t="s">
        <v>65</v>
      </c>
      <c r="AE17" s="108" t="s">
        <v>65</v>
      </c>
      <c r="AF17" s="62">
        <v>12</v>
      </c>
      <c r="AG17" s="68">
        <v>4</v>
      </c>
      <c r="AH17" s="67">
        <v>0</v>
      </c>
      <c r="AI17" s="66" t="s">
        <v>65</v>
      </c>
      <c r="AJ17" s="62" t="s">
        <v>65</v>
      </c>
      <c r="AK17" s="68">
        <v>0</v>
      </c>
      <c r="AL17" s="67" t="s">
        <v>65</v>
      </c>
      <c r="AM17" s="66">
        <v>-1</v>
      </c>
      <c r="AN17" s="62">
        <v>7</v>
      </c>
      <c r="AO17" s="68">
        <v>9</v>
      </c>
      <c r="AP17" s="67">
        <v>0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1</v>
      </c>
      <c r="BF17" s="4">
        <v>2</v>
      </c>
      <c r="BG17" s="4">
        <v>0</v>
      </c>
      <c r="BH17" s="4">
        <v>1</v>
      </c>
      <c r="BI17" s="4">
        <v>1</v>
      </c>
      <c r="BJ17" s="4">
        <v>0</v>
      </c>
      <c r="BK17" s="4">
        <v>2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25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111" t="s">
        <v>65</v>
      </c>
      <c r="U18" s="110" t="s">
        <v>105</v>
      </c>
      <c r="V18" s="109" t="s">
        <v>65</v>
      </c>
      <c r="W18" s="108">
        <v>-1</v>
      </c>
      <c r="X18" s="111" t="s">
        <v>65</v>
      </c>
      <c r="Y18" s="110" t="s">
        <v>105</v>
      </c>
      <c r="Z18" s="109" t="s">
        <v>65</v>
      </c>
      <c r="AA18" s="108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>
        <v>-1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90</v>
      </c>
      <c r="C19" s="72">
        <v>16</v>
      </c>
      <c r="D19" s="62">
        <v>8</v>
      </c>
      <c r="E19" s="68">
        <v>8</v>
      </c>
      <c r="F19" s="67"/>
      <c r="G19" s="66" t="s">
        <v>65</v>
      </c>
      <c r="H19" s="111" t="s">
        <v>65</v>
      </c>
      <c r="I19" s="110" t="s">
        <v>105</v>
      </c>
      <c r="J19" s="109"/>
      <c r="K19" s="108">
        <v>-1</v>
      </c>
      <c r="L19" s="62">
        <v>16</v>
      </c>
      <c r="M19" s="68">
        <v>1</v>
      </c>
      <c r="N19" s="67">
        <v>0</v>
      </c>
      <c r="O19" s="66" t="s">
        <v>65</v>
      </c>
      <c r="P19" s="62">
        <v>9</v>
      </c>
      <c r="Q19" s="68">
        <v>7</v>
      </c>
      <c r="R19" s="67">
        <v>0</v>
      </c>
      <c r="S19" s="66" t="s">
        <v>65</v>
      </c>
      <c r="T19" s="62">
        <v>14</v>
      </c>
      <c r="U19" s="68">
        <v>2</v>
      </c>
      <c r="V19" s="67">
        <v>0</v>
      </c>
      <c r="W19" s="66" t="s">
        <v>65</v>
      </c>
      <c r="X19" s="111" t="s">
        <v>65</v>
      </c>
      <c r="Y19" s="110" t="s">
        <v>105</v>
      </c>
      <c r="Z19" s="109" t="s">
        <v>65</v>
      </c>
      <c r="AA19" s="108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>
        <v>-1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1</v>
      </c>
      <c r="BH19" s="4">
        <v>1</v>
      </c>
      <c r="BI19" s="4">
        <v>0</v>
      </c>
      <c r="BJ19" s="4">
        <v>0</v>
      </c>
      <c r="BK19" s="4">
        <v>0</v>
      </c>
      <c r="BL19" s="4">
        <v>0</v>
      </c>
      <c r="BM19" s="4">
        <v>1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104</v>
      </c>
      <c r="C20" s="72">
        <v>3</v>
      </c>
      <c r="D20" s="111" t="s">
        <v>65</v>
      </c>
      <c r="E20" s="110" t="s">
        <v>105</v>
      </c>
      <c r="F20" s="109"/>
      <c r="G20" s="108" t="s">
        <v>65</v>
      </c>
      <c r="H20" s="111" t="s">
        <v>65</v>
      </c>
      <c r="I20" s="110" t="s">
        <v>105</v>
      </c>
      <c r="J20" s="109"/>
      <c r="K20" s="108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 t="s">
        <v>65</v>
      </c>
      <c r="Q20" s="68">
        <v>0</v>
      </c>
      <c r="R20" s="67" t="s">
        <v>65</v>
      </c>
      <c r="S20" s="66">
        <v>-3</v>
      </c>
      <c r="T20" s="62">
        <v>13</v>
      </c>
      <c r="U20" s="68">
        <v>3</v>
      </c>
      <c r="V20" s="67">
        <v>0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>
        <v>12</v>
      </c>
      <c r="AC20" s="68">
        <v>4</v>
      </c>
      <c r="AD20" s="67">
        <v>0</v>
      </c>
      <c r="AE20" s="66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>
        <v>-3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1</v>
      </c>
      <c r="BL20" s="4">
        <v>1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0</v>
      </c>
      <c r="D21" s="111" t="s">
        <v>65</v>
      </c>
      <c r="E21" s="110" t="s">
        <v>105</v>
      </c>
      <c r="F21" s="109"/>
      <c r="G21" s="108" t="s">
        <v>65</v>
      </c>
      <c r="H21" s="111" t="s">
        <v>65</v>
      </c>
      <c r="I21" s="110" t="s">
        <v>105</v>
      </c>
      <c r="J21" s="109"/>
      <c r="K21" s="108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>
        <v>-3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82</v>
      </c>
      <c r="C22" s="72">
        <v>0</v>
      </c>
      <c r="D22" s="111" t="s">
        <v>65</v>
      </c>
      <c r="E22" s="110" t="s">
        <v>105</v>
      </c>
      <c r="F22" s="109"/>
      <c r="G22" s="108">
        <v>-1</v>
      </c>
      <c r="H22" s="111" t="s">
        <v>65</v>
      </c>
      <c r="I22" s="110" t="s">
        <v>105</v>
      </c>
      <c r="J22" s="109"/>
      <c r="K22" s="108" t="s">
        <v>65</v>
      </c>
      <c r="L22" s="62" t="s">
        <v>65</v>
      </c>
      <c r="M22" s="68">
        <v>0</v>
      </c>
      <c r="N22" s="67" t="s">
        <v>65</v>
      </c>
      <c r="O22" s="66">
        <v>-3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>
        <v>-3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58" priority="59" stopIfTrue="1"/>
  </conditionalFormatting>
  <conditionalFormatting sqref="B5:B49">
    <cfRule type="duplicateValues" dxfId="57" priority="58"/>
  </conditionalFormatting>
  <conditionalFormatting sqref="H49">
    <cfRule type="duplicateValues" dxfId="56" priority="57" stopIfTrue="1"/>
  </conditionalFormatting>
  <conditionalFormatting sqref="AE49">
    <cfRule type="expression" dxfId="55" priority="55">
      <formula>COUNTIF($D49:AE49,"SIM")=1</formula>
    </cfRule>
    <cfRule type="expression" dxfId="54" priority="56">
      <formula>COUNTIF($D49:AE49,"SIM")&gt;=2</formula>
    </cfRule>
  </conditionalFormatting>
  <conditionalFormatting sqref="W49">
    <cfRule type="expression" dxfId="53" priority="53">
      <formula>COUNTIF($D49:W49,"SIM")=1</formula>
    </cfRule>
    <cfRule type="expression" dxfId="52" priority="54">
      <formula>COUNTIF($D49:W49,"SIM")&gt;=2</formula>
    </cfRule>
  </conditionalFormatting>
  <conditionalFormatting sqref="W35:W48">
    <cfRule type="expression" dxfId="51" priority="51">
      <formula>COUNTIF($D35:W35,"SIM")=1</formula>
    </cfRule>
    <cfRule type="expression" dxfId="50" priority="52">
      <formula>COUNTIF($D35:W35,"SIM")&gt;=2</formula>
    </cfRule>
  </conditionalFormatting>
  <conditionalFormatting sqref="W38">
    <cfRule type="expression" dxfId="49" priority="49">
      <formula>COUNTIF($D38:W38,"SIM")=1</formula>
    </cfRule>
    <cfRule type="expression" dxfId="48" priority="50">
      <formula>COUNTIF($D38:W38,"SIM")&gt;=2</formula>
    </cfRule>
  </conditionalFormatting>
  <conditionalFormatting sqref="AA5:AA49">
    <cfRule type="expression" dxfId="47" priority="47">
      <formula>COUNTIF($D5:AA5,"SIM")=1</formula>
    </cfRule>
    <cfRule type="expression" dxfId="46" priority="48">
      <formula>COUNTIF($D5:AA5,"SIM")&gt;=2</formula>
    </cfRule>
  </conditionalFormatting>
  <conditionalFormatting sqref="AE5:AE20">
    <cfRule type="expression" dxfId="45" priority="45">
      <formula>COUNTIF($D5:AE5,"SIM")=1</formula>
    </cfRule>
    <cfRule type="expression" dxfId="44" priority="46">
      <formula>COUNTIF($D5:AE5,"SIM")&gt;=2</formula>
    </cfRule>
  </conditionalFormatting>
  <conditionalFormatting sqref="AI5:AI49">
    <cfRule type="expression" dxfId="43" priority="43">
      <formula>COUNTIF($D5:AI5,"SIM")=1</formula>
    </cfRule>
    <cfRule type="expression" dxfId="42" priority="44">
      <formula>COUNTIF($D5:AI5,"SIM")&gt;=2</formula>
    </cfRule>
  </conditionalFormatting>
  <conditionalFormatting sqref="L49">
    <cfRule type="duplicateValues" dxfId="41" priority="42" stopIfTrue="1"/>
  </conditionalFormatting>
  <conditionalFormatting sqref="P49">
    <cfRule type="duplicateValues" dxfId="40" priority="41" stopIfTrue="1"/>
  </conditionalFormatting>
  <conditionalFormatting sqref="T49">
    <cfRule type="duplicateValues" dxfId="39" priority="40" stopIfTrue="1"/>
  </conditionalFormatting>
  <conditionalFormatting sqref="X49">
    <cfRule type="duplicateValues" dxfId="38" priority="39" stopIfTrue="1"/>
  </conditionalFormatting>
  <conditionalFormatting sqref="AB49">
    <cfRule type="duplicateValues" dxfId="37" priority="38" stopIfTrue="1"/>
  </conditionalFormatting>
  <conditionalFormatting sqref="AJ49">
    <cfRule type="duplicateValues" dxfId="36" priority="37" stopIfTrue="1"/>
  </conditionalFormatting>
  <conditionalFormatting sqref="AN49">
    <cfRule type="duplicateValues" dxfId="35" priority="36" stopIfTrue="1"/>
  </conditionalFormatting>
  <conditionalFormatting sqref="AR49">
    <cfRule type="duplicateValues" dxfId="34" priority="35" stopIfTrue="1"/>
  </conditionalFormatting>
  <conditionalFormatting sqref="AV49">
    <cfRule type="duplicateValues" dxfId="33" priority="34" stopIfTrue="1"/>
  </conditionalFormatting>
  <conditionalFormatting sqref="H5:H48">
    <cfRule type="duplicateValues" dxfId="32" priority="33" stopIfTrue="1"/>
  </conditionalFormatting>
  <conditionalFormatting sqref="L5:L48">
    <cfRule type="duplicateValues" dxfId="31" priority="32" stopIfTrue="1"/>
  </conditionalFormatting>
  <conditionalFormatting sqref="P5:P48">
    <cfRule type="duplicateValues" dxfId="30" priority="31" stopIfTrue="1"/>
  </conditionalFormatting>
  <conditionalFormatting sqref="T5:T48">
    <cfRule type="duplicateValues" dxfId="29" priority="30" stopIfTrue="1"/>
  </conditionalFormatting>
  <conditionalFormatting sqref="W34">
    <cfRule type="expression" dxfId="28" priority="28">
      <formula>COUNTIF($D34:W34,"SIM")=1</formula>
    </cfRule>
    <cfRule type="expression" dxfId="27" priority="29">
      <formula>COUNTIF($D34:W34,"SIM")&gt;=2</formula>
    </cfRule>
  </conditionalFormatting>
  <conditionalFormatting sqref="X5:X48">
    <cfRule type="duplicateValues" dxfId="26" priority="27" stopIfTrue="1"/>
  </conditionalFormatting>
  <conditionalFormatting sqref="W5:W33">
    <cfRule type="expression" dxfId="25" priority="25">
      <formula>COUNTIF($D5:W5,"SIM")=1</formula>
    </cfRule>
    <cfRule type="expression" dxfId="24" priority="26">
      <formula>COUNTIF($D5:W5,"SIM")&gt;=2</formula>
    </cfRule>
  </conditionalFormatting>
  <conditionalFormatting sqref="S5:S49">
    <cfRule type="expression" dxfId="23" priority="23">
      <formula>COUNTIF($D5:S5,"SIM")=1</formula>
    </cfRule>
    <cfRule type="expression" dxfId="22" priority="24">
      <formula>COUNTIF($D5:S5,"SIM")&gt;=2</formula>
    </cfRule>
  </conditionalFormatting>
  <conditionalFormatting sqref="O5:O49">
    <cfRule type="expression" dxfId="21" priority="21">
      <formula>COUNTIF($D5:O5,"SIM")=1</formula>
    </cfRule>
    <cfRule type="expression" dxfId="20" priority="22">
      <formula>COUNTIF($D5:O5,"SIM")&gt;=2</formula>
    </cfRule>
  </conditionalFormatting>
  <conditionalFormatting sqref="K5:K49">
    <cfRule type="expression" dxfId="19" priority="19">
      <formula>COUNTIF($D5:K5,"SIM")=1</formula>
    </cfRule>
    <cfRule type="expression" dxfId="18" priority="20">
      <formula>COUNTIF($D5:K5,"SIM")&gt;=2</formula>
    </cfRule>
  </conditionalFormatting>
  <conditionalFormatting sqref="G5:G49">
    <cfRule type="expression" dxfId="17" priority="17">
      <formula>COUNTIF($D5:G5,"SIM")=1</formula>
    </cfRule>
    <cfRule type="expression" dxfId="16" priority="18">
      <formula>COUNTIF($D5:G5,"SIM")&gt;=2</formula>
    </cfRule>
  </conditionalFormatting>
  <conditionalFormatting sqref="AB5:AB48">
    <cfRule type="duplicateValues" dxfId="15" priority="16" stopIfTrue="1"/>
  </conditionalFormatting>
  <conditionalFormatting sqref="AE21:AE48">
    <cfRule type="expression" dxfId="14" priority="14">
      <formula>COUNTIF($D21:AE21,"SIM")=1</formula>
    </cfRule>
    <cfRule type="expression" dxfId="13" priority="15">
      <formula>COUNTIF($D21:AE21,"SIM")&gt;=2</formula>
    </cfRule>
  </conditionalFormatting>
  <conditionalFormatting sqref="AF5:AF49">
    <cfRule type="duplicateValues" dxfId="12" priority="13" stopIfTrue="1"/>
  </conditionalFormatting>
  <conditionalFormatting sqref="AJ5:AJ48">
    <cfRule type="duplicateValues" dxfId="11" priority="12" stopIfTrue="1"/>
  </conditionalFormatting>
  <conditionalFormatting sqref="AM5:AM49">
    <cfRule type="expression" dxfId="10" priority="10">
      <formula>COUNTIF($D5:AM5,"SIM")=1</formula>
    </cfRule>
    <cfRule type="expression" dxfId="9" priority="11">
      <formula>COUNTIF($D5:AM5,"SIM")&gt;=2</formula>
    </cfRule>
  </conditionalFormatting>
  <conditionalFormatting sqref="AN5:AN48">
    <cfRule type="duplicateValues" dxfId="8" priority="9" stopIfTrue="1"/>
  </conditionalFormatting>
  <conditionalFormatting sqref="AQ5:AQ49">
    <cfRule type="expression" dxfId="7" priority="7">
      <formula>COUNTIF($D5:AQ5,"SIM")=1</formula>
    </cfRule>
    <cfRule type="expression" dxfId="6" priority="8">
      <formula>COUNTIF($D5:AQ5,"SIM")&gt;=2</formula>
    </cfRule>
  </conditionalFormatting>
  <conditionalFormatting sqref="AR5:AR48">
    <cfRule type="duplicateValues" dxfId="5" priority="6" stopIfTrue="1"/>
  </conditionalFormatting>
  <conditionalFormatting sqref="AU5:AU49">
    <cfRule type="expression" dxfId="4" priority="4">
      <formula>COUNTIF($D5:AU5,"SIM")=1</formula>
    </cfRule>
    <cfRule type="expression" dxfId="3" priority="5">
      <formula>COUNTIF($D5:AU5,"SIM")&gt;=2</formula>
    </cfRule>
  </conditionalFormatting>
  <conditionalFormatting sqref="AV5:AV48">
    <cfRule type="duplicateValues" dxfId="2" priority="3" stopIfTrue="1"/>
  </conditionalFormatting>
  <conditionalFormatting sqref="AY5:AY49">
    <cfRule type="expression" dxfId="1" priority="1">
      <formula>COUNTIF($D5:AY5,"SIM")=1</formula>
    </cfRule>
    <cfRule type="expression" dxfId="0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6E0E3-CE63-4386-8974-DAFD0382DD61}">
  <sheetPr codeName="Plan29"/>
  <dimension ref="A1:CO78"/>
  <sheetViews>
    <sheetView showGridLines="0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19.28515625" bestFit="1" customWidth="1"/>
    <col min="3" max="3" width="3.42578125" bestFit="1" customWidth="1"/>
    <col min="4" max="4" width="19.42578125" style="3" bestFit="1" customWidth="1"/>
    <col min="5" max="5" width="9.42578125" style="3" bestFit="1" customWidth="1"/>
    <col min="6" max="8" width="4.85546875" bestFit="1" customWidth="1"/>
    <col min="9" max="9" width="19.42578125" style="3" bestFit="1" customWidth="1"/>
    <col min="10" max="10" width="9.42578125" style="3" bestFit="1" customWidth="1"/>
    <col min="11" max="13" width="4.85546875" bestFit="1" customWidth="1"/>
    <col min="14" max="14" width="19.42578125" style="3" bestFit="1" customWidth="1"/>
    <col min="15" max="15" width="9.42578125" style="3" bestFit="1" customWidth="1"/>
    <col min="16" max="18" width="4.85546875" bestFit="1" customWidth="1"/>
    <col min="19" max="19" width="19.42578125" style="3" bestFit="1" customWidth="1"/>
    <col min="20" max="20" width="9.42578125" style="3" bestFit="1" customWidth="1"/>
    <col min="21" max="23" width="4.85546875" bestFit="1" customWidth="1"/>
    <col min="24" max="24" width="19.425781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63" t="s">
        <v>110</v>
      </c>
      <c r="D1" s="161" t="s">
        <v>99</v>
      </c>
      <c r="E1" s="162"/>
      <c r="F1" s="158" t="s">
        <v>64</v>
      </c>
      <c r="G1" s="148" t="s">
        <v>62</v>
      </c>
      <c r="H1" s="155" t="s">
        <v>63</v>
      </c>
      <c r="I1" s="161" t="s">
        <v>99</v>
      </c>
      <c r="J1" s="162"/>
      <c r="K1" s="158" t="s">
        <v>64</v>
      </c>
      <c r="L1" s="148" t="s">
        <v>62</v>
      </c>
      <c r="M1" s="155" t="s">
        <v>63</v>
      </c>
      <c r="N1" s="161" t="s">
        <v>99</v>
      </c>
      <c r="O1" s="162"/>
      <c r="P1" s="158" t="s">
        <v>64</v>
      </c>
      <c r="Q1" s="148" t="s">
        <v>62</v>
      </c>
      <c r="R1" s="155" t="s">
        <v>63</v>
      </c>
      <c r="S1" s="161" t="s">
        <v>99</v>
      </c>
      <c r="T1" s="162"/>
      <c r="U1" s="158" t="s">
        <v>64</v>
      </c>
      <c r="V1" s="148" t="s">
        <v>62</v>
      </c>
      <c r="W1" s="155" t="s">
        <v>63</v>
      </c>
      <c r="X1" s="161" t="s">
        <v>99</v>
      </c>
      <c r="Y1" s="162"/>
      <c r="Z1" s="158" t="s">
        <v>64</v>
      </c>
      <c r="AA1" s="148" t="s">
        <v>62</v>
      </c>
      <c r="AB1" s="155" t="s">
        <v>63</v>
      </c>
      <c r="AC1" s="161" t="s">
        <v>99</v>
      </c>
      <c r="AD1" s="162"/>
      <c r="AE1" s="158" t="s">
        <v>64</v>
      </c>
      <c r="AF1" s="148" t="s">
        <v>62</v>
      </c>
      <c r="AG1" s="155" t="s">
        <v>63</v>
      </c>
      <c r="AH1" s="161" t="s">
        <v>99</v>
      </c>
      <c r="AI1" s="162"/>
      <c r="AJ1" s="158" t="s">
        <v>64</v>
      </c>
      <c r="AK1" s="148" t="s">
        <v>62</v>
      </c>
      <c r="AL1" s="155" t="s">
        <v>63</v>
      </c>
      <c r="AM1" s="161" t="s">
        <v>99</v>
      </c>
      <c r="AN1" s="162"/>
      <c r="AO1" s="158" t="s">
        <v>64</v>
      </c>
      <c r="AP1" s="148" t="s">
        <v>62</v>
      </c>
      <c r="AQ1" s="155" t="s">
        <v>63</v>
      </c>
      <c r="AR1" s="161" t="s">
        <v>99</v>
      </c>
      <c r="AS1" s="162"/>
      <c r="AT1" s="158" t="s">
        <v>64</v>
      </c>
      <c r="AU1" s="148" t="s">
        <v>62</v>
      </c>
      <c r="AV1" s="155" t="s">
        <v>63</v>
      </c>
      <c r="AW1" s="161" t="s">
        <v>99</v>
      </c>
      <c r="AX1" s="162"/>
      <c r="AY1" s="158" t="s">
        <v>64</v>
      </c>
      <c r="AZ1" s="148" t="s">
        <v>62</v>
      </c>
      <c r="BA1" s="155" t="s">
        <v>63</v>
      </c>
      <c r="BB1" s="161"/>
      <c r="BC1" s="162"/>
      <c r="BD1" s="158" t="s">
        <v>64</v>
      </c>
      <c r="BE1" s="148" t="s">
        <v>62</v>
      </c>
      <c r="BF1" s="155" t="s">
        <v>63</v>
      </c>
      <c r="BG1" s="161"/>
      <c r="BH1" s="162"/>
      <c r="BI1" s="158" t="s">
        <v>64</v>
      </c>
      <c r="BJ1" s="148" t="s">
        <v>62</v>
      </c>
      <c r="BK1" s="155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64"/>
      <c r="C2" s="93"/>
      <c r="D2" s="151" t="s">
        <v>16</v>
      </c>
      <c r="E2" s="152"/>
      <c r="F2" s="159"/>
      <c r="G2" s="149"/>
      <c r="H2" s="156"/>
      <c r="I2" s="151" t="s">
        <v>15</v>
      </c>
      <c r="J2" s="152"/>
      <c r="K2" s="159"/>
      <c r="L2" s="149"/>
      <c r="M2" s="156"/>
      <c r="N2" s="151" t="s">
        <v>14</v>
      </c>
      <c r="O2" s="152"/>
      <c r="P2" s="159"/>
      <c r="Q2" s="149"/>
      <c r="R2" s="156"/>
      <c r="S2" s="151" t="s">
        <v>13</v>
      </c>
      <c r="T2" s="152"/>
      <c r="U2" s="159"/>
      <c r="V2" s="149"/>
      <c r="W2" s="156"/>
      <c r="X2" s="151" t="s">
        <v>12</v>
      </c>
      <c r="Y2" s="152"/>
      <c r="Z2" s="159"/>
      <c r="AA2" s="149"/>
      <c r="AB2" s="156"/>
      <c r="AC2" s="151" t="s">
        <v>11</v>
      </c>
      <c r="AD2" s="152"/>
      <c r="AE2" s="159"/>
      <c r="AF2" s="149"/>
      <c r="AG2" s="156"/>
      <c r="AH2" s="151" t="s">
        <v>10</v>
      </c>
      <c r="AI2" s="152"/>
      <c r="AJ2" s="159"/>
      <c r="AK2" s="149"/>
      <c r="AL2" s="156"/>
      <c r="AM2" s="151" t="s">
        <v>9</v>
      </c>
      <c r="AN2" s="152"/>
      <c r="AO2" s="159"/>
      <c r="AP2" s="149"/>
      <c r="AQ2" s="156"/>
      <c r="AR2" s="151" t="s">
        <v>8</v>
      </c>
      <c r="AS2" s="152"/>
      <c r="AT2" s="159"/>
      <c r="AU2" s="149"/>
      <c r="AV2" s="156"/>
      <c r="AW2" s="151" t="s">
        <v>7</v>
      </c>
      <c r="AX2" s="152"/>
      <c r="AY2" s="159"/>
      <c r="AZ2" s="149"/>
      <c r="BA2" s="156"/>
      <c r="BB2" s="151" t="s">
        <v>6</v>
      </c>
      <c r="BC2" s="152"/>
      <c r="BD2" s="159"/>
      <c r="BE2" s="149"/>
      <c r="BF2" s="156"/>
      <c r="BG2" s="151" t="s">
        <v>5</v>
      </c>
      <c r="BH2" s="152"/>
      <c r="BI2" s="159"/>
      <c r="BJ2" s="149"/>
      <c r="BK2" s="156"/>
    </row>
    <row r="3" spans="1:77" s="91" customFormat="1" ht="15.75" customHeight="1" thickBot="1" x14ac:dyDescent="0.3">
      <c r="A3" s="164"/>
      <c r="C3" s="93"/>
      <c r="D3" s="153">
        <f>TABELA!D3</f>
        <v>46061</v>
      </c>
      <c r="E3" s="154"/>
      <c r="F3" s="159"/>
      <c r="G3" s="149"/>
      <c r="H3" s="156"/>
      <c r="I3" s="153">
        <v>46093</v>
      </c>
      <c r="J3" s="154"/>
      <c r="K3" s="159"/>
      <c r="L3" s="149"/>
      <c r="M3" s="156"/>
      <c r="N3" s="153">
        <v>46128</v>
      </c>
      <c r="O3" s="154"/>
      <c r="P3" s="159"/>
      <c r="Q3" s="149"/>
      <c r="R3" s="156"/>
      <c r="S3" s="153">
        <v>46142</v>
      </c>
      <c r="T3" s="154"/>
      <c r="U3" s="159"/>
      <c r="V3" s="149"/>
      <c r="W3" s="156"/>
      <c r="X3" s="153">
        <v>46156</v>
      </c>
      <c r="Y3" s="154"/>
      <c r="Z3" s="159"/>
      <c r="AA3" s="149"/>
      <c r="AB3" s="156"/>
      <c r="AC3" s="153">
        <v>46198</v>
      </c>
      <c r="AD3" s="154"/>
      <c r="AE3" s="159"/>
      <c r="AF3" s="149"/>
      <c r="AG3" s="156"/>
      <c r="AH3" s="153">
        <v>46212</v>
      </c>
      <c r="AI3" s="154"/>
      <c r="AJ3" s="159"/>
      <c r="AK3" s="149"/>
      <c r="AL3" s="156"/>
      <c r="AM3" s="153">
        <v>46247</v>
      </c>
      <c r="AN3" s="154"/>
      <c r="AO3" s="159"/>
      <c r="AP3" s="149"/>
      <c r="AQ3" s="156"/>
      <c r="AR3" s="153">
        <v>46275</v>
      </c>
      <c r="AS3" s="154"/>
      <c r="AT3" s="159"/>
      <c r="AU3" s="149"/>
      <c r="AV3" s="156"/>
      <c r="AW3" s="153">
        <v>46303</v>
      </c>
      <c r="AX3" s="154"/>
      <c r="AY3" s="159"/>
      <c r="AZ3" s="149"/>
      <c r="BA3" s="156"/>
      <c r="BB3" s="153"/>
      <c r="BC3" s="154"/>
      <c r="BD3" s="159"/>
      <c r="BE3" s="149"/>
      <c r="BF3" s="156"/>
      <c r="BG3" s="153"/>
      <c r="BH3" s="154"/>
      <c r="BI3" s="159"/>
      <c r="BJ3" s="149"/>
      <c r="BK3" s="156"/>
    </row>
    <row r="4" spans="1:77" s="91" customFormat="1" ht="48.75" customHeight="1" thickBot="1" x14ac:dyDescent="0.3">
      <c r="A4" s="165"/>
      <c r="B4" s="92" t="s">
        <v>4</v>
      </c>
      <c r="C4" s="92"/>
      <c r="D4" s="96" t="s">
        <v>2</v>
      </c>
      <c r="E4" s="95" t="s">
        <v>3</v>
      </c>
      <c r="F4" s="160"/>
      <c r="G4" s="150"/>
      <c r="H4" s="157"/>
      <c r="I4" s="96" t="s">
        <v>2</v>
      </c>
      <c r="J4" s="95" t="s">
        <v>3</v>
      </c>
      <c r="K4" s="160"/>
      <c r="L4" s="150"/>
      <c r="M4" s="157"/>
      <c r="N4" s="96" t="s">
        <v>2</v>
      </c>
      <c r="O4" s="95" t="s">
        <v>3</v>
      </c>
      <c r="P4" s="160"/>
      <c r="Q4" s="150"/>
      <c r="R4" s="157"/>
      <c r="S4" s="96" t="s">
        <v>2</v>
      </c>
      <c r="T4" s="95" t="s">
        <v>3</v>
      </c>
      <c r="U4" s="160"/>
      <c r="V4" s="150"/>
      <c r="W4" s="157"/>
      <c r="X4" s="96" t="s">
        <v>2</v>
      </c>
      <c r="Y4" s="95" t="s">
        <v>3</v>
      </c>
      <c r="Z4" s="160"/>
      <c r="AA4" s="150"/>
      <c r="AB4" s="157"/>
      <c r="AC4" s="96" t="s">
        <v>2</v>
      </c>
      <c r="AD4" s="95" t="s">
        <v>3</v>
      </c>
      <c r="AE4" s="160"/>
      <c r="AF4" s="150"/>
      <c r="AG4" s="157"/>
      <c r="AH4" s="96" t="s">
        <v>2</v>
      </c>
      <c r="AI4" s="95" t="s">
        <v>3</v>
      </c>
      <c r="AJ4" s="160"/>
      <c r="AK4" s="150"/>
      <c r="AL4" s="157"/>
      <c r="AM4" s="96" t="s">
        <v>2</v>
      </c>
      <c r="AN4" s="95" t="s">
        <v>3</v>
      </c>
      <c r="AO4" s="160"/>
      <c r="AP4" s="150"/>
      <c r="AQ4" s="157"/>
      <c r="AR4" s="96" t="s">
        <v>2</v>
      </c>
      <c r="AS4" s="95" t="s">
        <v>3</v>
      </c>
      <c r="AT4" s="160"/>
      <c r="AU4" s="150"/>
      <c r="AV4" s="157"/>
      <c r="AW4" s="96" t="s">
        <v>2</v>
      </c>
      <c r="AX4" s="95" t="s">
        <v>3</v>
      </c>
      <c r="AY4" s="160"/>
      <c r="AZ4" s="150"/>
      <c r="BA4" s="157"/>
      <c r="BB4" s="96" t="s">
        <v>2</v>
      </c>
      <c r="BC4" s="95" t="s">
        <v>3</v>
      </c>
      <c r="BD4" s="160"/>
      <c r="BE4" s="150"/>
      <c r="BF4" s="157"/>
      <c r="BG4" s="96" t="s">
        <v>2</v>
      </c>
      <c r="BH4" s="95" t="s">
        <v>3</v>
      </c>
      <c r="BI4" s="160"/>
      <c r="BJ4" s="150"/>
      <c r="BK4" s="157"/>
    </row>
    <row r="5" spans="1:77" s="3" customFormat="1" x14ac:dyDescent="0.25">
      <c r="A5" s="4" t="s">
        <v>94</v>
      </c>
      <c r="B5" s="59" t="s">
        <v>85</v>
      </c>
      <c r="C5" s="14">
        <v>1</v>
      </c>
      <c r="D5" s="112" t="s">
        <v>98</v>
      </c>
      <c r="E5" s="49">
        <v>20</v>
      </c>
      <c r="F5" s="4" t="s">
        <v>61</v>
      </c>
      <c r="G5" s="4" t="s">
        <v>61</v>
      </c>
      <c r="H5" s="4" t="s">
        <v>61</v>
      </c>
      <c r="I5" s="112" t="s">
        <v>98</v>
      </c>
      <c r="J5" s="49">
        <v>37</v>
      </c>
      <c r="K5" s="4" t="s">
        <v>61</v>
      </c>
      <c r="L5" s="4" t="s">
        <v>61</v>
      </c>
      <c r="M5" s="4" t="s">
        <v>61</v>
      </c>
      <c r="N5" s="112" t="s">
        <v>98</v>
      </c>
      <c r="O5" s="49">
        <v>50</v>
      </c>
      <c r="P5" s="4" t="s">
        <v>61</v>
      </c>
      <c r="Q5" s="4" t="s">
        <v>61</v>
      </c>
      <c r="R5" s="4" t="s">
        <v>61</v>
      </c>
      <c r="S5" s="112" t="s">
        <v>98</v>
      </c>
      <c r="T5" s="49">
        <v>63</v>
      </c>
      <c r="U5" s="4" t="s">
        <v>61</v>
      </c>
      <c r="V5" s="4" t="s">
        <v>61</v>
      </c>
      <c r="W5" s="4" t="s">
        <v>61</v>
      </c>
      <c r="X5" s="112" t="s">
        <v>98</v>
      </c>
      <c r="Y5" s="49">
        <v>76</v>
      </c>
      <c r="Z5" s="4" t="s">
        <v>61</v>
      </c>
      <c r="AA5" s="4" t="s">
        <v>61</v>
      </c>
      <c r="AB5" s="4" t="s">
        <v>61</v>
      </c>
      <c r="AC5" s="105" t="s">
        <v>85</v>
      </c>
      <c r="AD5" s="49">
        <v>64</v>
      </c>
      <c r="AE5" s="4" t="s">
        <v>61</v>
      </c>
      <c r="AF5" s="4" t="s">
        <v>61</v>
      </c>
      <c r="AG5" s="4" t="s">
        <v>61</v>
      </c>
      <c r="AH5" s="105" t="s">
        <v>85</v>
      </c>
      <c r="AI5" s="49">
        <v>80</v>
      </c>
      <c r="AJ5" s="4" t="s">
        <v>61</v>
      </c>
      <c r="AK5" s="4" t="s">
        <v>61</v>
      </c>
      <c r="AL5" s="4" t="s">
        <v>61</v>
      </c>
      <c r="AM5" s="105" t="s">
        <v>85</v>
      </c>
      <c r="AN5" s="49">
        <v>100</v>
      </c>
      <c r="AO5" s="4" t="s">
        <v>61</v>
      </c>
      <c r="AP5" s="4" t="s">
        <v>61</v>
      </c>
      <c r="AQ5" s="4" t="s">
        <v>61</v>
      </c>
      <c r="AR5" s="105" t="s">
        <v>85</v>
      </c>
      <c r="AS5" s="49">
        <v>117</v>
      </c>
      <c r="AT5" s="4" t="s">
        <v>61</v>
      </c>
      <c r="AU5" s="4" t="s">
        <v>61</v>
      </c>
      <c r="AV5" s="4" t="s">
        <v>61</v>
      </c>
      <c r="AW5" s="105" t="s">
        <v>85</v>
      </c>
      <c r="AX5" s="49">
        <v>132</v>
      </c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94</v>
      </c>
      <c r="B6" s="58" t="s">
        <v>98</v>
      </c>
      <c r="C6" s="14">
        <v>2</v>
      </c>
      <c r="D6" s="101" t="s">
        <v>97</v>
      </c>
      <c r="E6" s="51">
        <v>18</v>
      </c>
      <c r="F6" s="4">
        <f t="shared" ref="F6:F49" si="0">E$5-E6</f>
        <v>2</v>
      </c>
      <c r="G6" s="4" t="s">
        <v>61</v>
      </c>
      <c r="H6" s="4">
        <f t="shared" ref="H6:H49" si="1">E5-E6</f>
        <v>2</v>
      </c>
      <c r="I6" s="103" t="s">
        <v>95</v>
      </c>
      <c r="J6" s="51">
        <v>33</v>
      </c>
      <c r="K6" s="4">
        <f t="shared" ref="K6:K49" si="2">J$5-J6</f>
        <v>4</v>
      </c>
      <c r="L6" s="4" t="s">
        <v>61</v>
      </c>
      <c r="M6" s="4">
        <f t="shared" ref="M6:M49" si="3">J5-J6</f>
        <v>4</v>
      </c>
      <c r="N6" s="103" t="s">
        <v>95</v>
      </c>
      <c r="O6" s="51">
        <v>43</v>
      </c>
      <c r="P6" s="4">
        <f t="shared" ref="P6:P49" si="4">O$5-O6</f>
        <v>7</v>
      </c>
      <c r="Q6" s="4" t="s">
        <v>61</v>
      </c>
      <c r="R6" s="4">
        <f t="shared" ref="R6:R49" si="5">O5-O6</f>
        <v>7</v>
      </c>
      <c r="S6" s="101" t="s">
        <v>97</v>
      </c>
      <c r="T6" s="51">
        <v>54</v>
      </c>
      <c r="U6" s="4">
        <f t="shared" ref="U6:U49" si="6">T$5-T6</f>
        <v>9</v>
      </c>
      <c r="V6" s="4" t="s">
        <v>61</v>
      </c>
      <c r="W6" s="4">
        <f t="shared" ref="W6:W49" si="7">T5-T6</f>
        <v>9</v>
      </c>
      <c r="X6" s="101" t="s">
        <v>97</v>
      </c>
      <c r="Y6" s="51">
        <v>65</v>
      </c>
      <c r="Z6" s="4">
        <f t="shared" ref="Z6:Z49" si="8">Y$5-Y6</f>
        <v>11</v>
      </c>
      <c r="AA6" s="4" t="s">
        <v>61</v>
      </c>
      <c r="AB6" s="4">
        <f t="shared" ref="AB6:AB49" si="9">Y5-Y6</f>
        <v>11</v>
      </c>
      <c r="AC6" s="50" t="s">
        <v>83</v>
      </c>
      <c r="AD6" s="51">
        <v>64</v>
      </c>
      <c r="AE6" s="4">
        <f t="shared" ref="AE6:AE49" si="10">AD$5-AD6</f>
        <v>0</v>
      </c>
      <c r="AF6" s="4" t="s">
        <v>61</v>
      </c>
      <c r="AG6" s="4">
        <f t="shared" ref="AG6:AG49" si="11">AD5-AD6</f>
        <v>0</v>
      </c>
      <c r="AH6" s="104" t="s">
        <v>98</v>
      </c>
      <c r="AI6" s="51">
        <v>76</v>
      </c>
      <c r="AJ6" s="4">
        <f t="shared" ref="AJ6:AJ49" si="12">AI$5-AI6</f>
        <v>4</v>
      </c>
      <c r="AK6" s="4" t="s">
        <v>61</v>
      </c>
      <c r="AL6" s="4">
        <f t="shared" ref="AL6:AL49" si="13">AI5-AI6</f>
        <v>4</v>
      </c>
      <c r="AM6" s="104" t="s">
        <v>98</v>
      </c>
      <c r="AN6" s="51">
        <v>89</v>
      </c>
      <c r="AO6" s="4">
        <f t="shared" ref="AO6:AO49" si="14">AN$5-AN6</f>
        <v>11</v>
      </c>
      <c r="AP6" s="4" t="s">
        <v>61</v>
      </c>
      <c r="AQ6" s="4">
        <f t="shared" ref="AQ6:AQ49" si="15">AN5-AN6</f>
        <v>11</v>
      </c>
      <c r="AR6" s="104" t="s">
        <v>98</v>
      </c>
      <c r="AS6" s="51">
        <v>102</v>
      </c>
      <c r="AT6" s="4">
        <f t="shared" ref="AT6:AT49" si="16">AS$5-AS6</f>
        <v>15</v>
      </c>
      <c r="AU6" s="4" t="s">
        <v>61</v>
      </c>
      <c r="AV6" s="4">
        <f t="shared" ref="AV6:AV49" si="17">AS5-AS6</f>
        <v>15</v>
      </c>
      <c r="AW6" s="104" t="s">
        <v>98</v>
      </c>
      <c r="AX6" s="51">
        <v>122</v>
      </c>
      <c r="AY6" s="4">
        <f t="shared" ref="AY6:AY49" si="18">AX$5-AX6</f>
        <v>10</v>
      </c>
      <c r="AZ6" s="4" t="s">
        <v>61</v>
      </c>
      <c r="BA6" s="4">
        <f t="shared" ref="BA6:BA49" si="19">AX5-AX6</f>
        <v>10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94</v>
      </c>
      <c r="B7" s="29" t="s">
        <v>95</v>
      </c>
      <c r="C7" s="14">
        <v>3</v>
      </c>
      <c r="D7" s="50" t="s">
        <v>96</v>
      </c>
      <c r="E7" s="51">
        <v>15</v>
      </c>
      <c r="F7" s="4">
        <f t="shared" si="0"/>
        <v>5</v>
      </c>
      <c r="G7" s="4" t="s">
        <v>61</v>
      </c>
      <c r="H7" s="4">
        <f t="shared" si="1"/>
        <v>3</v>
      </c>
      <c r="I7" s="101" t="s">
        <v>97</v>
      </c>
      <c r="J7" s="51">
        <v>31</v>
      </c>
      <c r="K7" s="4">
        <f t="shared" si="2"/>
        <v>6</v>
      </c>
      <c r="L7" s="4" t="s">
        <v>61</v>
      </c>
      <c r="M7" s="4">
        <f t="shared" si="3"/>
        <v>2</v>
      </c>
      <c r="N7" s="101" t="s">
        <v>97</v>
      </c>
      <c r="O7" s="51">
        <v>39</v>
      </c>
      <c r="P7" s="4">
        <f t="shared" si="4"/>
        <v>11</v>
      </c>
      <c r="Q7" s="4" t="s">
        <v>61</v>
      </c>
      <c r="R7" s="4">
        <f t="shared" si="5"/>
        <v>4</v>
      </c>
      <c r="S7" s="106" t="s">
        <v>85</v>
      </c>
      <c r="T7" s="51">
        <v>47</v>
      </c>
      <c r="U7" s="4">
        <f t="shared" si="6"/>
        <v>16</v>
      </c>
      <c r="V7" s="4" t="s">
        <v>61</v>
      </c>
      <c r="W7" s="4">
        <f t="shared" si="7"/>
        <v>7</v>
      </c>
      <c r="X7" s="106" t="s">
        <v>85</v>
      </c>
      <c r="Y7" s="51">
        <v>53</v>
      </c>
      <c r="Z7" s="4">
        <f t="shared" si="8"/>
        <v>23</v>
      </c>
      <c r="AA7" s="4" t="s">
        <v>61</v>
      </c>
      <c r="AB7" s="4">
        <f t="shared" si="9"/>
        <v>12</v>
      </c>
      <c r="AC7" s="104" t="s">
        <v>98</v>
      </c>
      <c r="AD7" s="51">
        <v>63</v>
      </c>
      <c r="AE7" s="4">
        <f t="shared" si="10"/>
        <v>1</v>
      </c>
      <c r="AF7" s="4" t="s">
        <v>61</v>
      </c>
      <c r="AG7" s="4">
        <f t="shared" si="11"/>
        <v>1</v>
      </c>
      <c r="AH7" s="50" t="s">
        <v>83</v>
      </c>
      <c r="AI7" s="51">
        <v>72</v>
      </c>
      <c r="AJ7" s="4">
        <f t="shared" si="12"/>
        <v>8</v>
      </c>
      <c r="AK7" s="4" t="s">
        <v>61</v>
      </c>
      <c r="AL7" s="4">
        <f t="shared" si="13"/>
        <v>4</v>
      </c>
      <c r="AM7" s="50" t="s">
        <v>83</v>
      </c>
      <c r="AN7" s="51">
        <v>79</v>
      </c>
      <c r="AO7" s="4">
        <f t="shared" si="14"/>
        <v>21</v>
      </c>
      <c r="AP7" s="4" t="s">
        <v>61</v>
      </c>
      <c r="AQ7" s="4">
        <f t="shared" si="15"/>
        <v>10</v>
      </c>
      <c r="AR7" s="50" t="s">
        <v>96</v>
      </c>
      <c r="AS7" s="51">
        <v>83</v>
      </c>
      <c r="AT7" s="4">
        <f t="shared" si="16"/>
        <v>34</v>
      </c>
      <c r="AU7" s="4" t="s">
        <v>61</v>
      </c>
      <c r="AV7" s="4">
        <f t="shared" si="17"/>
        <v>19</v>
      </c>
      <c r="AW7" s="103" t="s">
        <v>95</v>
      </c>
      <c r="AX7" s="51">
        <v>98</v>
      </c>
      <c r="AY7" s="4">
        <f t="shared" si="18"/>
        <v>34</v>
      </c>
      <c r="AZ7" s="4" t="s">
        <v>61</v>
      </c>
      <c r="BA7" s="4">
        <f t="shared" si="19"/>
        <v>24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94</v>
      </c>
      <c r="B8" s="57" t="s">
        <v>89</v>
      </c>
      <c r="C8" s="14">
        <v>4</v>
      </c>
      <c r="D8" s="103" t="s">
        <v>95</v>
      </c>
      <c r="E8" s="51">
        <v>13</v>
      </c>
      <c r="F8" s="4">
        <f t="shared" si="0"/>
        <v>7</v>
      </c>
      <c r="G8" s="4" t="s">
        <v>61</v>
      </c>
      <c r="H8" s="4">
        <f t="shared" si="1"/>
        <v>2</v>
      </c>
      <c r="I8" s="50" t="s">
        <v>92</v>
      </c>
      <c r="J8" s="51">
        <v>21</v>
      </c>
      <c r="K8" s="4">
        <f t="shared" si="2"/>
        <v>16</v>
      </c>
      <c r="L8" s="4" t="s">
        <v>61</v>
      </c>
      <c r="M8" s="4">
        <f t="shared" si="3"/>
        <v>10</v>
      </c>
      <c r="N8" s="50" t="s">
        <v>92</v>
      </c>
      <c r="O8" s="51">
        <v>30</v>
      </c>
      <c r="P8" s="4">
        <f t="shared" si="4"/>
        <v>20</v>
      </c>
      <c r="Q8" s="4" t="s">
        <v>61</v>
      </c>
      <c r="R8" s="4">
        <f t="shared" si="5"/>
        <v>9</v>
      </c>
      <c r="S8" s="103" t="s">
        <v>95</v>
      </c>
      <c r="T8" s="51">
        <v>43</v>
      </c>
      <c r="U8" s="4">
        <f t="shared" si="6"/>
        <v>20</v>
      </c>
      <c r="V8" s="4" t="s">
        <v>61</v>
      </c>
      <c r="W8" s="4">
        <f t="shared" si="7"/>
        <v>4</v>
      </c>
      <c r="X8" s="103" t="s">
        <v>95</v>
      </c>
      <c r="Y8" s="51">
        <v>51</v>
      </c>
      <c r="Z8" s="4">
        <f t="shared" si="8"/>
        <v>25</v>
      </c>
      <c r="AA8" s="4" t="s">
        <v>61</v>
      </c>
      <c r="AB8" s="4">
        <f t="shared" si="9"/>
        <v>2</v>
      </c>
      <c r="AC8" s="101" t="s">
        <v>97</v>
      </c>
      <c r="AD8" s="51">
        <v>57</v>
      </c>
      <c r="AE8" s="4">
        <f t="shared" si="10"/>
        <v>7</v>
      </c>
      <c r="AF8" s="4" t="s">
        <v>61</v>
      </c>
      <c r="AG8" s="4">
        <f t="shared" si="11"/>
        <v>6</v>
      </c>
      <c r="AH8" s="101" t="s">
        <v>97</v>
      </c>
      <c r="AI8" s="51">
        <v>65</v>
      </c>
      <c r="AJ8" s="4">
        <f t="shared" si="12"/>
        <v>15</v>
      </c>
      <c r="AK8" s="4" t="s">
        <v>61</v>
      </c>
      <c r="AL8" s="4">
        <f t="shared" si="13"/>
        <v>7</v>
      </c>
      <c r="AM8" s="101" t="s">
        <v>97</v>
      </c>
      <c r="AN8" s="51">
        <v>70</v>
      </c>
      <c r="AO8" s="4">
        <f t="shared" si="14"/>
        <v>30</v>
      </c>
      <c r="AP8" s="4" t="s">
        <v>61</v>
      </c>
      <c r="AQ8" s="4">
        <f t="shared" si="15"/>
        <v>9</v>
      </c>
      <c r="AR8" s="103" t="s">
        <v>95</v>
      </c>
      <c r="AS8" s="51">
        <v>81</v>
      </c>
      <c r="AT8" s="4">
        <f t="shared" si="16"/>
        <v>36</v>
      </c>
      <c r="AU8" s="4" t="s">
        <v>61</v>
      </c>
      <c r="AV8" s="4">
        <f t="shared" si="17"/>
        <v>2</v>
      </c>
      <c r="AW8" s="102" t="s">
        <v>89</v>
      </c>
      <c r="AX8" s="51">
        <v>90</v>
      </c>
      <c r="AY8" s="4">
        <f t="shared" si="18"/>
        <v>42</v>
      </c>
      <c r="AZ8" s="4" t="s">
        <v>61</v>
      </c>
      <c r="BA8" s="4">
        <f t="shared" si="19"/>
        <v>8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94</v>
      </c>
      <c r="B9" s="56" t="s">
        <v>97</v>
      </c>
      <c r="C9" s="14">
        <v>5</v>
      </c>
      <c r="D9" s="50" t="s">
        <v>93</v>
      </c>
      <c r="E9" s="51">
        <v>11</v>
      </c>
      <c r="F9" s="4">
        <f t="shared" si="0"/>
        <v>9</v>
      </c>
      <c r="G9" s="4" t="s">
        <v>61</v>
      </c>
      <c r="H9" s="4">
        <f t="shared" si="1"/>
        <v>2</v>
      </c>
      <c r="I9" s="50" t="s">
        <v>93</v>
      </c>
      <c r="J9" s="51">
        <v>18</v>
      </c>
      <c r="K9" s="4">
        <f t="shared" si="2"/>
        <v>19</v>
      </c>
      <c r="L9" s="4" t="s">
        <v>61</v>
      </c>
      <c r="M9" s="4">
        <f t="shared" si="3"/>
        <v>3</v>
      </c>
      <c r="N9" s="106" t="s">
        <v>85</v>
      </c>
      <c r="O9" s="51">
        <v>27</v>
      </c>
      <c r="P9" s="4">
        <f t="shared" si="4"/>
        <v>23</v>
      </c>
      <c r="Q9" s="4" t="s">
        <v>61</v>
      </c>
      <c r="R9" s="4">
        <f t="shared" si="5"/>
        <v>3</v>
      </c>
      <c r="S9" s="50" t="s">
        <v>83</v>
      </c>
      <c r="T9" s="51">
        <v>32</v>
      </c>
      <c r="U9" s="4">
        <f t="shared" si="6"/>
        <v>31</v>
      </c>
      <c r="V9" s="4" t="s">
        <v>61</v>
      </c>
      <c r="W9" s="4">
        <f t="shared" si="7"/>
        <v>11</v>
      </c>
      <c r="X9" s="50" t="s">
        <v>83</v>
      </c>
      <c r="Y9" s="51">
        <v>47</v>
      </c>
      <c r="Z9" s="4">
        <f t="shared" si="8"/>
        <v>29</v>
      </c>
      <c r="AA9" s="4" t="s">
        <v>61</v>
      </c>
      <c r="AB9" s="4">
        <f t="shared" si="9"/>
        <v>4</v>
      </c>
      <c r="AC9" s="103" t="s">
        <v>95</v>
      </c>
      <c r="AD9" s="51">
        <v>51</v>
      </c>
      <c r="AE9" s="4">
        <f t="shared" si="10"/>
        <v>13</v>
      </c>
      <c r="AF9" s="4" t="s">
        <v>61</v>
      </c>
      <c r="AG9" s="4">
        <f t="shared" si="11"/>
        <v>6</v>
      </c>
      <c r="AH9" s="103" t="s">
        <v>95</v>
      </c>
      <c r="AI9" s="51">
        <v>60</v>
      </c>
      <c r="AJ9" s="4">
        <f t="shared" si="12"/>
        <v>20</v>
      </c>
      <c r="AK9" s="4" t="s">
        <v>61</v>
      </c>
      <c r="AL9" s="4">
        <f t="shared" si="13"/>
        <v>5</v>
      </c>
      <c r="AM9" s="103" t="s">
        <v>95</v>
      </c>
      <c r="AN9" s="51">
        <v>66</v>
      </c>
      <c r="AO9" s="4">
        <f t="shared" si="14"/>
        <v>34</v>
      </c>
      <c r="AP9" s="4" t="s">
        <v>61</v>
      </c>
      <c r="AQ9" s="4">
        <f t="shared" si="15"/>
        <v>4</v>
      </c>
      <c r="AR9" s="101" t="s">
        <v>97</v>
      </c>
      <c r="AS9" s="51">
        <v>81</v>
      </c>
      <c r="AT9" s="4">
        <f t="shared" si="16"/>
        <v>36</v>
      </c>
      <c r="AU9" s="4" t="s">
        <v>61</v>
      </c>
      <c r="AV9" s="4">
        <f t="shared" si="17"/>
        <v>0</v>
      </c>
      <c r="AW9" s="101" t="s">
        <v>97</v>
      </c>
      <c r="AX9" s="51">
        <v>88</v>
      </c>
      <c r="AY9" s="4">
        <f t="shared" si="18"/>
        <v>44</v>
      </c>
      <c r="AZ9" s="4" t="s">
        <v>61</v>
      </c>
      <c r="BA9" s="4">
        <f t="shared" si="19"/>
        <v>2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96</v>
      </c>
      <c r="C10" s="14">
        <v>6</v>
      </c>
      <c r="D10" s="50" t="s">
        <v>92</v>
      </c>
      <c r="E10" s="51">
        <v>10</v>
      </c>
      <c r="F10" s="4">
        <f t="shared" si="0"/>
        <v>10</v>
      </c>
      <c r="G10" s="4">
        <f t="shared" ref="G10:G49" si="24">E$9-E10</f>
        <v>1</v>
      </c>
      <c r="H10" s="4">
        <f t="shared" si="1"/>
        <v>1</v>
      </c>
      <c r="I10" s="50" t="s">
        <v>84</v>
      </c>
      <c r="J10" s="51">
        <v>15</v>
      </c>
      <c r="K10" s="4">
        <f t="shared" si="2"/>
        <v>22</v>
      </c>
      <c r="L10" s="4">
        <f t="shared" ref="L10:L49" si="25">J$9-J10</f>
        <v>3</v>
      </c>
      <c r="M10" s="4">
        <f t="shared" si="3"/>
        <v>3</v>
      </c>
      <c r="N10" s="50" t="s">
        <v>93</v>
      </c>
      <c r="O10" s="51">
        <v>22</v>
      </c>
      <c r="P10" s="4">
        <f t="shared" si="4"/>
        <v>28</v>
      </c>
      <c r="Q10" s="4">
        <f t="shared" ref="Q10:Q49" si="26">O$9-O10</f>
        <v>5</v>
      </c>
      <c r="R10" s="4">
        <f t="shared" si="5"/>
        <v>5</v>
      </c>
      <c r="S10" s="50" t="s">
        <v>92</v>
      </c>
      <c r="T10" s="51">
        <v>30</v>
      </c>
      <c r="U10" s="4">
        <f t="shared" si="6"/>
        <v>33</v>
      </c>
      <c r="V10" s="4">
        <f t="shared" ref="V10:V49" si="27">T$9-T10</f>
        <v>2</v>
      </c>
      <c r="W10" s="4">
        <f t="shared" si="7"/>
        <v>2</v>
      </c>
      <c r="X10" s="50" t="s">
        <v>92</v>
      </c>
      <c r="Y10" s="51">
        <v>40</v>
      </c>
      <c r="Z10" s="4">
        <f t="shared" si="8"/>
        <v>36</v>
      </c>
      <c r="AA10" s="4">
        <f t="shared" ref="AA10:AA49" si="28">Y$9-Y10</f>
        <v>7</v>
      </c>
      <c r="AB10" s="4">
        <f t="shared" si="9"/>
        <v>7</v>
      </c>
      <c r="AC10" s="102" t="s">
        <v>89</v>
      </c>
      <c r="AD10" s="51">
        <v>49</v>
      </c>
      <c r="AE10" s="4">
        <f t="shared" si="10"/>
        <v>15</v>
      </c>
      <c r="AF10" s="4">
        <f t="shared" ref="AF10:AF49" si="29">AD$9-AD10</f>
        <v>2</v>
      </c>
      <c r="AG10" s="4">
        <f t="shared" si="11"/>
        <v>2</v>
      </c>
      <c r="AH10" s="102" t="s">
        <v>89</v>
      </c>
      <c r="AI10" s="51">
        <v>55</v>
      </c>
      <c r="AJ10" s="4">
        <f t="shared" si="12"/>
        <v>25</v>
      </c>
      <c r="AK10" s="4">
        <f t="shared" ref="AK10:AK49" si="30">AI$9-AI10</f>
        <v>5</v>
      </c>
      <c r="AL10" s="4">
        <f t="shared" si="13"/>
        <v>5</v>
      </c>
      <c r="AM10" s="102" t="s">
        <v>89</v>
      </c>
      <c r="AN10" s="51">
        <v>66</v>
      </c>
      <c r="AO10" s="4">
        <f t="shared" si="14"/>
        <v>34</v>
      </c>
      <c r="AP10" s="4">
        <f t="shared" ref="AP10:AP49" si="31">AN$9-AN10</f>
        <v>0</v>
      </c>
      <c r="AQ10" s="4">
        <f t="shared" si="15"/>
        <v>0</v>
      </c>
      <c r="AR10" s="50" t="s">
        <v>83</v>
      </c>
      <c r="AS10" s="51">
        <v>79</v>
      </c>
      <c r="AT10" s="4">
        <f t="shared" si="16"/>
        <v>38</v>
      </c>
      <c r="AU10" s="4">
        <f t="shared" ref="AU10:AU49" si="32">AS$9-AS10</f>
        <v>2</v>
      </c>
      <c r="AV10" s="4">
        <f t="shared" si="17"/>
        <v>2</v>
      </c>
      <c r="AW10" s="50" t="s">
        <v>96</v>
      </c>
      <c r="AX10" s="51">
        <v>84</v>
      </c>
      <c r="AY10" s="4">
        <f t="shared" si="18"/>
        <v>48</v>
      </c>
      <c r="AZ10" s="4">
        <f t="shared" ref="AZ10:AZ49" si="33">AX$9-AX10</f>
        <v>4</v>
      </c>
      <c r="BA10" s="4">
        <f t="shared" si="19"/>
        <v>4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83</v>
      </c>
      <c r="C11" s="14">
        <v>7</v>
      </c>
      <c r="D11" s="50" t="s">
        <v>91</v>
      </c>
      <c r="E11" s="51">
        <v>9</v>
      </c>
      <c r="F11" s="4">
        <f t="shared" si="0"/>
        <v>11</v>
      </c>
      <c r="G11" s="4">
        <f t="shared" si="24"/>
        <v>2</v>
      </c>
      <c r="H11" s="4">
        <f t="shared" si="1"/>
        <v>1</v>
      </c>
      <c r="I11" s="50" t="s">
        <v>96</v>
      </c>
      <c r="J11" s="51">
        <v>14</v>
      </c>
      <c r="K11" s="4">
        <f t="shared" si="2"/>
        <v>23</v>
      </c>
      <c r="L11" s="4">
        <f t="shared" si="25"/>
        <v>4</v>
      </c>
      <c r="M11" s="4">
        <f t="shared" si="3"/>
        <v>1</v>
      </c>
      <c r="N11" s="50" t="s">
        <v>88</v>
      </c>
      <c r="O11" s="51">
        <v>20</v>
      </c>
      <c r="P11" s="4">
        <f t="shared" si="4"/>
        <v>30</v>
      </c>
      <c r="Q11" s="4">
        <f t="shared" si="26"/>
        <v>7</v>
      </c>
      <c r="R11" s="4">
        <f t="shared" si="5"/>
        <v>2</v>
      </c>
      <c r="S11" s="50" t="s">
        <v>84</v>
      </c>
      <c r="T11" s="51">
        <v>29</v>
      </c>
      <c r="U11" s="4">
        <f t="shared" si="6"/>
        <v>34</v>
      </c>
      <c r="V11" s="4">
        <f t="shared" si="27"/>
        <v>3</v>
      </c>
      <c r="W11" s="4">
        <f t="shared" si="7"/>
        <v>1</v>
      </c>
      <c r="X11" s="50" t="s">
        <v>88</v>
      </c>
      <c r="Y11" s="51">
        <v>38</v>
      </c>
      <c r="Z11" s="4">
        <f t="shared" si="8"/>
        <v>38</v>
      </c>
      <c r="AA11" s="4">
        <f t="shared" si="28"/>
        <v>9</v>
      </c>
      <c r="AB11" s="4">
        <f t="shared" si="9"/>
        <v>2</v>
      </c>
      <c r="AC11" s="50" t="s">
        <v>92</v>
      </c>
      <c r="AD11" s="51">
        <v>40</v>
      </c>
      <c r="AE11" s="4">
        <f t="shared" si="10"/>
        <v>24</v>
      </c>
      <c r="AF11" s="4">
        <f t="shared" si="29"/>
        <v>11</v>
      </c>
      <c r="AG11" s="4">
        <f t="shared" si="11"/>
        <v>9</v>
      </c>
      <c r="AH11" s="50" t="s">
        <v>92</v>
      </c>
      <c r="AI11" s="51">
        <v>50</v>
      </c>
      <c r="AJ11" s="4">
        <f t="shared" si="12"/>
        <v>30</v>
      </c>
      <c r="AK11" s="4">
        <f t="shared" si="30"/>
        <v>10</v>
      </c>
      <c r="AL11" s="4">
        <f t="shared" si="13"/>
        <v>5</v>
      </c>
      <c r="AM11" s="50" t="s">
        <v>96</v>
      </c>
      <c r="AN11" s="51">
        <v>62</v>
      </c>
      <c r="AO11" s="4">
        <f t="shared" si="14"/>
        <v>38</v>
      </c>
      <c r="AP11" s="4">
        <f t="shared" si="31"/>
        <v>4</v>
      </c>
      <c r="AQ11" s="4">
        <f t="shared" si="15"/>
        <v>4</v>
      </c>
      <c r="AR11" s="102" t="s">
        <v>89</v>
      </c>
      <c r="AS11" s="51">
        <v>79</v>
      </c>
      <c r="AT11" s="4">
        <f t="shared" si="16"/>
        <v>38</v>
      </c>
      <c r="AU11" s="4">
        <f t="shared" si="32"/>
        <v>2</v>
      </c>
      <c r="AV11" s="4">
        <f t="shared" si="17"/>
        <v>0</v>
      </c>
      <c r="AW11" s="50" t="s">
        <v>83</v>
      </c>
      <c r="AX11" s="51">
        <v>79</v>
      </c>
      <c r="AY11" s="4">
        <f t="shared" si="18"/>
        <v>53</v>
      </c>
      <c r="AZ11" s="4">
        <f t="shared" si="33"/>
        <v>9</v>
      </c>
      <c r="BA11" s="4">
        <f t="shared" si="19"/>
        <v>5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103</v>
      </c>
      <c r="C12" s="14">
        <v>8</v>
      </c>
      <c r="D12" s="50" t="s">
        <v>90</v>
      </c>
      <c r="E12" s="51">
        <v>8</v>
      </c>
      <c r="F12" s="4">
        <f t="shared" si="0"/>
        <v>12</v>
      </c>
      <c r="G12" s="4">
        <f t="shared" si="24"/>
        <v>3</v>
      </c>
      <c r="H12" s="4">
        <f t="shared" si="1"/>
        <v>1</v>
      </c>
      <c r="I12" s="50" t="s">
        <v>103</v>
      </c>
      <c r="J12" s="51">
        <v>10</v>
      </c>
      <c r="K12" s="4">
        <f t="shared" si="2"/>
        <v>27</v>
      </c>
      <c r="L12" s="4">
        <f t="shared" si="25"/>
        <v>8</v>
      </c>
      <c r="M12" s="4">
        <f t="shared" si="3"/>
        <v>4</v>
      </c>
      <c r="N12" s="50" t="s">
        <v>84</v>
      </c>
      <c r="O12" s="51">
        <v>18</v>
      </c>
      <c r="P12" s="4">
        <f t="shared" si="4"/>
        <v>32</v>
      </c>
      <c r="Q12" s="4">
        <f t="shared" si="26"/>
        <v>9</v>
      </c>
      <c r="R12" s="4">
        <f t="shared" si="5"/>
        <v>2</v>
      </c>
      <c r="S12" s="50" t="s">
        <v>88</v>
      </c>
      <c r="T12" s="51">
        <v>29</v>
      </c>
      <c r="U12" s="4">
        <f t="shared" si="6"/>
        <v>34</v>
      </c>
      <c r="V12" s="4">
        <f t="shared" si="27"/>
        <v>3</v>
      </c>
      <c r="W12" s="4">
        <f t="shared" si="7"/>
        <v>0</v>
      </c>
      <c r="X12" s="50" t="s">
        <v>84</v>
      </c>
      <c r="Y12" s="51">
        <v>36</v>
      </c>
      <c r="Z12" s="4">
        <f t="shared" si="8"/>
        <v>40</v>
      </c>
      <c r="AA12" s="4">
        <f t="shared" si="28"/>
        <v>11</v>
      </c>
      <c r="AB12" s="4">
        <f t="shared" si="9"/>
        <v>2</v>
      </c>
      <c r="AC12" s="50" t="s">
        <v>84</v>
      </c>
      <c r="AD12" s="51">
        <v>36</v>
      </c>
      <c r="AE12" s="4">
        <f t="shared" si="10"/>
        <v>28</v>
      </c>
      <c r="AF12" s="4">
        <f t="shared" si="29"/>
        <v>15</v>
      </c>
      <c r="AG12" s="4">
        <f t="shared" si="11"/>
        <v>4</v>
      </c>
      <c r="AH12" s="50" t="s">
        <v>86</v>
      </c>
      <c r="AI12" s="51">
        <v>46</v>
      </c>
      <c r="AJ12" s="4">
        <f t="shared" si="12"/>
        <v>34</v>
      </c>
      <c r="AK12" s="4">
        <f t="shared" si="30"/>
        <v>14</v>
      </c>
      <c r="AL12" s="4">
        <f t="shared" si="13"/>
        <v>4</v>
      </c>
      <c r="AM12" s="50" t="s">
        <v>92</v>
      </c>
      <c r="AN12" s="51">
        <v>59</v>
      </c>
      <c r="AO12" s="4">
        <f t="shared" si="14"/>
        <v>41</v>
      </c>
      <c r="AP12" s="4">
        <f t="shared" si="31"/>
        <v>7</v>
      </c>
      <c r="AQ12" s="4">
        <f t="shared" si="15"/>
        <v>3</v>
      </c>
      <c r="AR12" s="50" t="s">
        <v>92</v>
      </c>
      <c r="AS12" s="51">
        <v>59</v>
      </c>
      <c r="AT12" s="4">
        <f t="shared" si="16"/>
        <v>58</v>
      </c>
      <c r="AU12" s="4">
        <f t="shared" si="32"/>
        <v>22</v>
      </c>
      <c r="AV12" s="4">
        <f t="shared" si="17"/>
        <v>20</v>
      </c>
      <c r="AW12" s="50" t="s">
        <v>86</v>
      </c>
      <c r="AX12" s="51">
        <v>66</v>
      </c>
      <c r="AY12" s="4">
        <f t="shared" si="18"/>
        <v>66</v>
      </c>
      <c r="AZ12" s="4">
        <f t="shared" si="33"/>
        <v>22</v>
      </c>
      <c r="BA12" s="4">
        <f t="shared" si="19"/>
        <v>13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86</v>
      </c>
      <c r="C13" s="14">
        <v>9</v>
      </c>
      <c r="D13" s="102" t="s">
        <v>89</v>
      </c>
      <c r="E13" s="51">
        <v>1</v>
      </c>
      <c r="F13" s="4">
        <f t="shared" si="0"/>
        <v>19</v>
      </c>
      <c r="G13" s="4">
        <f t="shared" si="24"/>
        <v>10</v>
      </c>
      <c r="H13" s="4">
        <f t="shared" si="1"/>
        <v>7</v>
      </c>
      <c r="I13" s="50" t="s">
        <v>88</v>
      </c>
      <c r="J13" s="51">
        <v>9</v>
      </c>
      <c r="K13" s="4">
        <f t="shared" si="2"/>
        <v>28</v>
      </c>
      <c r="L13" s="4">
        <f t="shared" si="25"/>
        <v>9</v>
      </c>
      <c r="M13" s="4">
        <f t="shared" si="3"/>
        <v>1</v>
      </c>
      <c r="N13" s="102" t="s">
        <v>89</v>
      </c>
      <c r="O13" s="51">
        <v>17</v>
      </c>
      <c r="P13" s="4">
        <f t="shared" si="4"/>
        <v>33</v>
      </c>
      <c r="Q13" s="4">
        <f t="shared" si="26"/>
        <v>10</v>
      </c>
      <c r="R13" s="4">
        <f t="shared" si="5"/>
        <v>1</v>
      </c>
      <c r="S13" s="50" t="s">
        <v>96</v>
      </c>
      <c r="T13" s="51">
        <v>23</v>
      </c>
      <c r="U13" s="4">
        <f t="shared" si="6"/>
        <v>40</v>
      </c>
      <c r="V13" s="4">
        <f t="shared" si="27"/>
        <v>9</v>
      </c>
      <c r="W13" s="4">
        <f t="shared" si="7"/>
        <v>6</v>
      </c>
      <c r="X13" s="102" t="s">
        <v>89</v>
      </c>
      <c r="Y13" s="51">
        <v>34</v>
      </c>
      <c r="Z13" s="4">
        <f t="shared" si="8"/>
        <v>42</v>
      </c>
      <c r="AA13" s="4">
        <f t="shared" si="28"/>
        <v>13</v>
      </c>
      <c r="AB13" s="4">
        <f t="shared" si="9"/>
        <v>2</v>
      </c>
      <c r="AC13" s="50" t="s">
        <v>96</v>
      </c>
      <c r="AD13" s="51">
        <v>34</v>
      </c>
      <c r="AE13" s="4">
        <f t="shared" si="10"/>
        <v>30</v>
      </c>
      <c r="AF13" s="4">
        <f t="shared" si="29"/>
        <v>17</v>
      </c>
      <c r="AG13" s="4">
        <f t="shared" si="11"/>
        <v>2</v>
      </c>
      <c r="AH13" s="50" t="s">
        <v>103</v>
      </c>
      <c r="AI13" s="51">
        <v>46</v>
      </c>
      <c r="AJ13" s="4">
        <f t="shared" si="12"/>
        <v>34</v>
      </c>
      <c r="AK13" s="4">
        <f t="shared" si="30"/>
        <v>14</v>
      </c>
      <c r="AL13" s="4">
        <f t="shared" si="13"/>
        <v>0</v>
      </c>
      <c r="AM13" s="50" t="s">
        <v>84</v>
      </c>
      <c r="AN13" s="51">
        <v>57</v>
      </c>
      <c r="AO13" s="4">
        <f t="shared" si="14"/>
        <v>43</v>
      </c>
      <c r="AP13" s="4">
        <f t="shared" si="31"/>
        <v>9</v>
      </c>
      <c r="AQ13" s="4">
        <f t="shared" si="15"/>
        <v>2</v>
      </c>
      <c r="AR13" s="50" t="s">
        <v>84</v>
      </c>
      <c r="AS13" s="51">
        <v>57</v>
      </c>
      <c r="AT13" s="4">
        <f t="shared" si="16"/>
        <v>60</v>
      </c>
      <c r="AU13" s="4">
        <f t="shared" si="32"/>
        <v>24</v>
      </c>
      <c r="AV13" s="4">
        <f t="shared" si="17"/>
        <v>2</v>
      </c>
      <c r="AW13" s="50" t="s">
        <v>103</v>
      </c>
      <c r="AX13" s="51">
        <v>66</v>
      </c>
      <c r="AY13" s="4">
        <f t="shared" si="18"/>
        <v>66</v>
      </c>
      <c r="AZ13" s="4">
        <f t="shared" si="33"/>
        <v>22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88</v>
      </c>
      <c r="C14" s="14">
        <v>10</v>
      </c>
      <c r="D14" s="50" t="s">
        <v>88</v>
      </c>
      <c r="E14" s="51">
        <v>1</v>
      </c>
      <c r="F14" s="4">
        <f t="shared" si="0"/>
        <v>19</v>
      </c>
      <c r="G14" s="4">
        <f t="shared" si="24"/>
        <v>10</v>
      </c>
      <c r="H14" s="4">
        <f t="shared" si="1"/>
        <v>0</v>
      </c>
      <c r="I14" s="50" t="s">
        <v>91</v>
      </c>
      <c r="J14" s="51">
        <v>8</v>
      </c>
      <c r="K14" s="4">
        <f t="shared" si="2"/>
        <v>29</v>
      </c>
      <c r="L14" s="4">
        <f t="shared" si="25"/>
        <v>10</v>
      </c>
      <c r="M14" s="4">
        <f t="shared" si="3"/>
        <v>1</v>
      </c>
      <c r="N14" s="50" t="s">
        <v>103</v>
      </c>
      <c r="O14" s="51">
        <v>16</v>
      </c>
      <c r="P14" s="4">
        <f t="shared" si="4"/>
        <v>34</v>
      </c>
      <c r="Q14" s="4">
        <f t="shared" si="26"/>
        <v>11</v>
      </c>
      <c r="R14" s="4">
        <f t="shared" si="5"/>
        <v>1</v>
      </c>
      <c r="S14" s="50" t="s">
        <v>93</v>
      </c>
      <c r="T14" s="51">
        <v>23</v>
      </c>
      <c r="U14" s="4">
        <f t="shared" si="6"/>
        <v>40</v>
      </c>
      <c r="V14" s="4">
        <f t="shared" si="27"/>
        <v>9</v>
      </c>
      <c r="W14" s="4">
        <f t="shared" si="7"/>
        <v>0</v>
      </c>
      <c r="X14" s="50" t="s">
        <v>86</v>
      </c>
      <c r="Y14" s="51">
        <v>32</v>
      </c>
      <c r="Z14" s="4">
        <f t="shared" si="8"/>
        <v>44</v>
      </c>
      <c r="AA14" s="4">
        <f t="shared" si="28"/>
        <v>15</v>
      </c>
      <c r="AB14" s="4">
        <f t="shared" si="9"/>
        <v>2</v>
      </c>
      <c r="AC14" s="50" t="s">
        <v>86</v>
      </c>
      <c r="AD14" s="51">
        <v>31</v>
      </c>
      <c r="AE14" s="4">
        <f t="shared" si="10"/>
        <v>33</v>
      </c>
      <c r="AF14" s="4">
        <f t="shared" si="29"/>
        <v>20</v>
      </c>
      <c r="AG14" s="4">
        <f t="shared" si="11"/>
        <v>3</v>
      </c>
      <c r="AH14" s="50" t="s">
        <v>96</v>
      </c>
      <c r="AI14" s="51">
        <v>45</v>
      </c>
      <c r="AJ14" s="4">
        <f t="shared" si="12"/>
        <v>35</v>
      </c>
      <c r="AK14" s="4">
        <f t="shared" si="30"/>
        <v>15</v>
      </c>
      <c r="AL14" s="4">
        <f t="shared" si="13"/>
        <v>1</v>
      </c>
      <c r="AM14" s="50" t="s">
        <v>86</v>
      </c>
      <c r="AN14" s="51">
        <v>56</v>
      </c>
      <c r="AO14" s="4">
        <f t="shared" si="14"/>
        <v>44</v>
      </c>
      <c r="AP14" s="4">
        <f t="shared" si="31"/>
        <v>10</v>
      </c>
      <c r="AQ14" s="4">
        <f t="shared" si="15"/>
        <v>1</v>
      </c>
      <c r="AR14" s="50" t="s">
        <v>88</v>
      </c>
      <c r="AS14" s="51">
        <v>56</v>
      </c>
      <c r="AT14" s="4">
        <f t="shared" si="16"/>
        <v>61</v>
      </c>
      <c r="AU14" s="4">
        <f t="shared" si="32"/>
        <v>25</v>
      </c>
      <c r="AV14" s="4">
        <f t="shared" si="17"/>
        <v>1</v>
      </c>
      <c r="AW14" s="50" t="s">
        <v>88</v>
      </c>
      <c r="AX14" s="51">
        <v>64</v>
      </c>
      <c r="AY14" s="4">
        <f t="shared" si="18"/>
        <v>68</v>
      </c>
      <c r="AZ14" s="4">
        <f t="shared" si="33"/>
        <v>24</v>
      </c>
      <c r="BA14" s="4">
        <f t="shared" si="19"/>
        <v>2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92</v>
      </c>
      <c r="C15" s="14">
        <v>11</v>
      </c>
      <c r="D15" s="50" t="s">
        <v>87</v>
      </c>
      <c r="E15" s="51">
        <v>0</v>
      </c>
      <c r="F15" s="4">
        <f t="shared" si="0"/>
        <v>20</v>
      </c>
      <c r="G15" s="4">
        <f t="shared" si="24"/>
        <v>11</v>
      </c>
      <c r="H15" s="4">
        <f t="shared" si="1"/>
        <v>1</v>
      </c>
      <c r="I15" s="106" t="s">
        <v>85</v>
      </c>
      <c r="J15" s="51">
        <v>7</v>
      </c>
      <c r="K15" s="4">
        <f t="shared" si="2"/>
        <v>30</v>
      </c>
      <c r="L15" s="4">
        <f t="shared" si="25"/>
        <v>11</v>
      </c>
      <c r="M15" s="4">
        <f t="shared" si="3"/>
        <v>1</v>
      </c>
      <c r="N15" s="50" t="s">
        <v>96</v>
      </c>
      <c r="O15" s="51">
        <v>15</v>
      </c>
      <c r="P15" s="4">
        <f t="shared" si="4"/>
        <v>35</v>
      </c>
      <c r="Q15" s="4">
        <f t="shared" si="26"/>
        <v>12</v>
      </c>
      <c r="R15" s="4">
        <f t="shared" si="5"/>
        <v>1</v>
      </c>
      <c r="S15" s="50" t="s">
        <v>91</v>
      </c>
      <c r="T15" s="51">
        <v>21</v>
      </c>
      <c r="U15" s="4">
        <f t="shared" si="6"/>
        <v>42</v>
      </c>
      <c r="V15" s="4">
        <f t="shared" si="27"/>
        <v>11</v>
      </c>
      <c r="W15" s="4">
        <f t="shared" si="7"/>
        <v>2</v>
      </c>
      <c r="X15" s="50" t="s">
        <v>96</v>
      </c>
      <c r="Y15" s="51">
        <v>29</v>
      </c>
      <c r="Z15" s="4">
        <f t="shared" si="8"/>
        <v>47</v>
      </c>
      <c r="AA15" s="4">
        <f t="shared" si="28"/>
        <v>18</v>
      </c>
      <c r="AB15" s="4">
        <f t="shared" si="9"/>
        <v>3</v>
      </c>
      <c r="AC15" s="50" t="s">
        <v>91</v>
      </c>
      <c r="AD15" s="51">
        <v>31</v>
      </c>
      <c r="AE15" s="4">
        <f t="shared" si="10"/>
        <v>33</v>
      </c>
      <c r="AF15" s="4">
        <f t="shared" si="29"/>
        <v>20</v>
      </c>
      <c r="AG15" s="4">
        <f t="shared" si="11"/>
        <v>0</v>
      </c>
      <c r="AH15" s="50" t="s">
        <v>84</v>
      </c>
      <c r="AI15" s="51">
        <v>44</v>
      </c>
      <c r="AJ15" s="4">
        <f t="shared" si="12"/>
        <v>36</v>
      </c>
      <c r="AK15" s="4">
        <f t="shared" si="30"/>
        <v>16</v>
      </c>
      <c r="AL15" s="4">
        <f t="shared" si="13"/>
        <v>1</v>
      </c>
      <c r="AM15" s="50" t="s">
        <v>103</v>
      </c>
      <c r="AN15" s="51">
        <v>54</v>
      </c>
      <c r="AO15" s="4">
        <f t="shared" si="14"/>
        <v>46</v>
      </c>
      <c r="AP15" s="4">
        <f t="shared" si="31"/>
        <v>12</v>
      </c>
      <c r="AQ15" s="4">
        <f t="shared" si="15"/>
        <v>2</v>
      </c>
      <c r="AR15" s="50" t="s">
        <v>86</v>
      </c>
      <c r="AS15" s="51">
        <v>55</v>
      </c>
      <c r="AT15" s="4">
        <f t="shared" si="16"/>
        <v>62</v>
      </c>
      <c r="AU15" s="4">
        <f t="shared" si="32"/>
        <v>26</v>
      </c>
      <c r="AV15" s="4">
        <f t="shared" si="17"/>
        <v>1</v>
      </c>
      <c r="AW15" s="50" t="s">
        <v>92</v>
      </c>
      <c r="AX15" s="51">
        <v>59</v>
      </c>
      <c r="AY15" s="4">
        <f t="shared" si="18"/>
        <v>73</v>
      </c>
      <c r="AZ15" s="4">
        <f t="shared" si="33"/>
        <v>29</v>
      </c>
      <c r="BA15" s="4">
        <f t="shared" si="19"/>
        <v>5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84</v>
      </c>
      <c r="C16" s="14">
        <v>12</v>
      </c>
      <c r="D16" s="50" t="s">
        <v>86</v>
      </c>
      <c r="E16" s="51">
        <v>0</v>
      </c>
      <c r="F16" s="4">
        <f t="shared" si="0"/>
        <v>20</v>
      </c>
      <c r="G16" s="4">
        <f t="shared" si="24"/>
        <v>11</v>
      </c>
      <c r="H16" s="4">
        <f t="shared" si="1"/>
        <v>0</v>
      </c>
      <c r="I16" s="50" t="s">
        <v>90</v>
      </c>
      <c r="J16" s="51">
        <v>7</v>
      </c>
      <c r="K16" s="4">
        <f t="shared" si="2"/>
        <v>30</v>
      </c>
      <c r="L16" s="4">
        <f t="shared" si="25"/>
        <v>11</v>
      </c>
      <c r="M16" s="4">
        <f t="shared" si="3"/>
        <v>0</v>
      </c>
      <c r="N16" s="50" t="s">
        <v>91</v>
      </c>
      <c r="O16" s="51">
        <v>15</v>
      </c>
      <c r="P16" s="4">
        <f t="shared" si="4"/>
        <v>35</v>
      </c>
      <c r="Q16" s="4">
        <f t="shared" si="26"/>
        <v>12</v>
      </c>
      <c r="R16" s="4">
        <f t="shared" si="5"/>
        <v>0</v>
      </c>
      <c r="S16" s="102" t="s">
        <v>89</v>
      </c>
      <c r="T16" s="51">
        <v>17</v>
      </c>
      <c r="U16" s="4">
        <f t="shared" si="6"/>
        <v>46</v>
      </c>
      <c r="V16" s="4">
        <f t="shared" si="27"/>
        <v>15</v>
      </c>
      <c r="W16" s="4">
        <f t="shared" si="7"/>
        <v>4</v>
      </c>
      <c r="X16" s="50" t="s">
        <v>91</v>
      </c>
      <c r="Y16" s="51">
        <v>25</v>
      </c>
      <c r="Z16" s="4">
        <f t="shared" si="8"/>
        <v>51</v>
      </c>
      <c r="AA16" s="4">
        <f t="shared" si="28"/>
        <v>22</v>
      </c>
      <c r="AB16" s="4">
        <f t="shared" si="9"/>
        <v>4</v>
      </c>
      <c r="AC16" s="50" t="s">
        <v>103</v>
      </c>
      <c r="AD16" s="51">
        <v>26</v>
      </c>
      <c r="AE16" s="4">
        <f t="shared" si="10"/>
        <v>38</v>
      </c>
      <c r="AF16" s="4">
        <f t="shared" si="29"/>
        <v>25</v>
      </c>
      <c r="AG16" s="4">
        <f t="shared" si="11"/>
        <v>5</v>
      </c>
      <c r="AH16" s="50" t="s">
        <v>91</v>
      </c>
      <c r="AI16" s="51">
        <v>35</v>
      </c>
      <c r="AJ16" s="4">
        <f t="shared" si="12"/>
        <v>45</v>
      </c>
      <c r="AK16" s="4">
        <f t="shared" si="30"/>
        <v>25</v>
      </c>
      <c r="AL16" s="4">
        <f t="shared" si="13"/>
        <v>9</v>
      </c>
      <c r="AM16" s="50" t="s">
        <v>88</v>
      </c>
      <c r="AN16" s="51">
        <v>46</v>
      </c>
      <c r="AO16" s="4">
        <f t="shared" si="14"/>
        <v>54</v>
      </c>
      <c r="AP16" s="4">
        <f t="shared" si="31"/>
        <v>20</v>
      </c>
      <c r="AQ16" s="4">
        <f t="shared" si="15"/>
        <v>8</v>
      </c>
      <c r="AR16" s="50" t="s">
        <v>103</v>
      </c>
      <c r="AS16" s="51">
        <v>53</v>
      </c>
      <c r="AT16" s="4">
        <f t="shared" si="16"/>
        <v>64</v>
      </c>
      <c r="AU16" s="4">
        <f t="shared" si="32"/>
        <v>28</v>
      </c>
      <c r="AV16" s="4">
        <f t="shared" si="17"/>
        <v>2</v>
      </c>
      <c r="AW16" s="50" t="s">
        <v>84</v>
      </c>
      <c r="AX16" s="51">
        <v>57</v>
      </c>
      <c r="AY16" s="4">
        <f t="shared" si="18"/>
        <v>75</v>
      </c>
      <c r="AZ16" s="4">
        <f t="shared" si="33"/>
        <v>31</v>
      </c>
      <c r="BA16" s="4">
        <f t="shared" si="19"/>
        <v>2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91</v>
      </c>
      <c r="C17" s="14">
        <v>13</v>
      </c>
      <c r="D17" s="106" t="s">
        <v>85</v>
      </c>
      <c r="E17" s="51">
        <v>0</v>
      </c>
      <c r="F17" s="4">
        <f t="shared" si="0"/>
        <v>20</v>
      </c>
      <c r="G17" s="4">
        <f t="shared" si="24"/>
        <v>11</v>
      </c>
      <c r="H17" s="4">
        <f t="shared" si="1"/>
        <v>0</v>
      </c>
      <c r="I17" s="102" t="s">
        <v>89</v>
      </c>
      <c r="J17" s="51">
        <v>0</v>
      </c>
      <c r="K17" s="4">
        <f t="shared" si="2"/>
        <v>37</v>
      </c>
      <c r="L17" s="4">
        <f t="shared" si="25"/>
        <v>18</v>
      </c>
      <c r="M17" s="4">
        <f t="shared" si="3"/>
        <v>7</v>
      </c>
      <c r="N17" s="50" t="s">
        <v>83</v>
      </c>
      <c r="O17" s="51">
        <v>14</v>
      </c>
      <c r="P17" s="4">
        <f t="shared" si="4"/>
        <v>36</v>
      </c>
      <c r="Q17" s="4">
        <f t="shared" si="26"/>
        <v>13</v>
      </c>
      <c r="R17" s="4">
        <f t="shared" si="5"/>
        <v>1</v>
      </c>
      <c r="S17" s="50" t="s">
        <v>103</v>
      </c>
      <c r="T17" s="51">
        <v>15</v>
      </c>
      <c r="U17" s="4">
        <f t="shared" si="6"/>
        <v>48</v>
      </c>
      <c r="V17" s="4">
        <f t="shared" si="27"/>
        <v>17</v>
      </c>
      <c r="W17" s="4">
        <f t="shared" si="7"/>
        <v>2</v>
      </c>
      <c r="X17" s="50" t="s">
        <v>93</v>
      </c>
      <c r="Y17" s="51">
        <v>22</v>
      </c>
      <c r="Z17" s="4">
        <f t="shared" si="8"/>
        <v>54</v>
      </c>
      <c r="AA17" s="4">
        <f t="shared" si="28"/>
        <v>25</v>
      </c>
      <c r="AB17" s="4">
        <f t="shared" si="9"/>
        <v>3</v>
      </c>
      <c r="AC17" s="50" t="s">
        <v>88</v>
      </c>
      <c r="AD17" s="51">
        <v>22</v>
      </c>
      <c r="AE17" s="4">
        <f t="shared" si="10"/>
        <v>42</v>
      </c>
      <c r="AF17" s="4">
        <f t="shared" si="29"/>
        <v>29</v>
      </c>
      <c r="AG17" s="4">
        <f t="shared" si="11"/>
        <v>4</v>
      </c>
      <c r="AH17" s="50" t="s">
        <v>88</v>
      </c>
      <c r="AI17" s="51">
        <v>30</v>
      </c>
      <c r="AJ17" s="4">
        <f t="shared" si="12"/>
        <v>50</v>
      </c>
      <c r="AK17" s="4">
        <f t="shared" si="30"/>
        <v>30</v>
      </c>
      <c r="AL17" s="4">
        <f t="shared" si="13"/>
        <v>5</v>
      </c>
      <c r="AM17" s="50" t="s">
        <v>91</v>
      </c>
      <c r="AN17" s="51">
        <v>39</v>
      </c>
      <c r="AO17" s="4">
        <f t="shared" si="14"/>
        <v>61</v>
      </c>
      <c r="AP17" s="4">
        <f t="shared" si="31"/>
        <v>27</v>
      </c>
      <c r="AQ17" s="4">
        <f t="shared" si="15"/>
        <v>7</v>
      </c>
      <c r="AR17" s="50" t="s">
        <v>91</v>
      </c>
      <c r="AS17" s="51">
        <v>38</v>
      </c>
      <c r="AT17" s="4">
        <f t="shared" si="16"/>
        <v>79</v>
      </c>
      <c r="AU17" s="4">
        <f t="shared" si="32"/>
        <v>43</v>
      </c>
      <c r="AV17" s="4">
        <f t="shared" si="17"/>
        <v>15</v>
      </c>
      <c r="AW17" s="50" t="s">
        <v>91</v>
      </c>
      <c r="AX17" s="51">
        <v>47</v>
      </c>
      <c r="AY17" s="4">
        <f t="shared" si="18"/>
        <v>85</v>
      </c>
      <c r="AZ17" s="4">
        <f t="shared" si="33"/>
        <v>41</v>
      </c>
      <c r="BA17" s="4">
        <f t="shared" si="19"/>
        <v>10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84</v>
      </c>
      <c r="E18" s="51">
        <v>0</v>
      </c>
      <c r="F18" s="4">
        <f t="shared" si="0"/>
        <v>20</v>
      </c>
      <c r="G18" s="4">
        <f t="shared" si="24"/>
        <v>11</v>
      </c>
      <c r="H18" s="4">
        <f t="shared" si="1"/>
        <v>0</v>
      </c>
      <c r="I18" s="50" t="s">
        <v>87</v>
      </c>
      <c r="J18" s="51">
        <v>0</v>
      </c>
      <c r="K18" s="4">
        <f t="shared" si="2"/>
        <v>37</v>
      </c>
      <c r="L18" s="4">
        <f t="shared" si="25"/>
        <v>18</v>
      </c>
      <c r="M18" s="4">
        <f t="shared" si="3"/>
        <v>0</v>
      </c>
      <c r="N18" s="50" t="s">
        <v>90</v>
      </c>
      <c r="O18" s="51">
        <v>8</v>
      </c>
      <c r="P18" s="4">
        <f t="shared" si="4"/>
        <v>42</v>
      </c>
      <c r="Q18" s="4">
        <f t="shared" si="26"/>
        <v>19</v>
      </c>
      <c r="R18" s="4">
        <f t="shared" si="5"/>
        <v>6</v>
      </c>
      <c r="S18" s="50" t="s">
        <v>90</v>
      </c>
      <c r="T18" s="51">
        <v>15</v>
      </c>
      <c r="U18" s="4">
        <f t="shared" si="6"/>
        <v>48</v>
      </c>
      <c r="V18" s="4">
        <f t="shared" si="27"/>
        <v>17</v>
      </c>
      <c r="W18" s="4">
        <f t="shared" si="7"/>
        <v>0</v>
      </c>
      <c r="X18" s="50" t="s">
        <v>90</v>
      </c>
      <c r="Y18" s="51">
        <v>17</v>
      </c>
      <c r="Z18" s="4">
        <f t="shared" si="8"/>
        <v>59</v>
      </c>
      <c r="AA18" s="4">
        <f t="shared" si="28"/>
        <v>30</v>
      </c>
      <c r="AB18" s="4">
        <f t="shared" si="9"/>
        <v>5</v>
      </c>
      <c r="AC18" s="50" t="s">
        <v>93</v>
      </c>
      <c r="AD18" s="51">
        <v>22</v>
      </c>
      <c r="AE18" s="4">
        <f t="shared" si="10"/>
        <v>42</v>
      </c>
      <c r="AF18" s="4">
        <f t="shared" si="29"/>
        <v>29</v>
      </c>
      <c r="AG18" s="4">
        <f t="shared" si="11"/>
        <v>0</v>
      </c>
      <c r="AH18" s="50" t="s">
        <v>93</v>
      </c>
      <c r="AI18" s="51">
        <v>27</v>
      </c>
      <c r="AJ18" s="4">
        <f t="shared" si="12"/>
        <v>53</v>
      </c>
      <c r="AK18" s="4">
        <f t="shared" si="30"/>
        <v>33</v>
      </c>
      <c r="AL18" s="4">
        <f t="shared" si="13"/>
        <v>3</v>
      </c>
      <c r="AM18" s="50" t="s">
        <v>93</v>
      </c>
      <c r="AN18" s="51">
        <v>26</v>
      </c>
      <c r="AO18" s="4">
        <f t="shared" si="14"/>
        <v>74</v>
      </c>
      <c r="AP18" s="4">
        <f t="shared" si="31"/>
        <v>40</v>
      </c>
      <c r="AQ18" s="4">
        <f t="shared" si="15"/>
        <v>13</v>
      </c>
      <c r="AR18" s="50" t="s">
        <v>93</v>
      </c>
      <c r="AS18" s="51">
        <v>26</v>
      </c>
      <c r="AT18" s="4">
        <f t="shared" si="16"/>
        <v>91</v>
      </c>
      <c r="AU18" s="4">
        <f t="shared" si="32"/>
        <v>55</v>
      </c>
      <c r="AV18" s="4">
        <f t="shared" si="17"/>
        <v>12</v>
      </c>
      <c r="AW18" s="50" t="s">
        <v>93</v>
      </c>
      <c r="AX18" s="51">
        <v>25</v>
      </c>
      <c r="AY18" s="4">
        <f t="shared" si="18"/>
        <v>107</v>
      </c>
      <c r="AZ18" s="4">
        <f t="shared" si="33"/>
        <v>63</v>
      </c>
      <c r="BA18" s="4">
        <f t="shared" si="19"/>
        <v>22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90</v>
      </c>
      <c r="C19" s="14">
        <v>15</v>
      </c>
      <c r="D19" s="50" t="s">
        <v>83</v>
      </c>
      <c r="E19" s="51">
        <v>0</v>
      </c>
      <c r="F19" s="4">
        <f t="shared" si="0"/>
        <v>20</v>
      </c>
      <c r="G19" s="4">
        <f t="shared" si="24"/>
        <v>11</v>
      </c>
      <c r="H19" s="4">
        <f t="shared" si="1"/>
        <v>0</v>
      </c>
      <c r="I19" s="50" t="s">
        <v>86</v>
      </c>
      <c r="J19" s="51">
        <v>0</v>
      </c>
      <c r="K19" s="4">
        <f t="shared" si="2"/>
        <v>37</v>
      </c>
      <c r="L19" s="4">
        <f t="shared" si="25"/>
        <v>18</v>
      </c>
      <c r="M19" s="4">
        <f t="shared" si="3"/>
        <v>0</v>
      </c>
      <c r="N19" s="50" t="s">
        <v>86</v>
      </c>
      <c r="O19" s="51">
        <v>2</v>
      </c>
      <c r="P19" s="4">
        <f t="shared" si="4"/>
        <v>48</v>
      </c>
      <c r="Q19" s="4">
        <f t="shared" si="26"/>
        <v>25</v>
      </c>
      <c r="R19" s="4">
        <f t="shared" si="5"/>
        <v>6</v>
      </c>
      <c r="S19" s="50" t="s">
        <v>86</v>
      </c>
      <c r="T19" s="51">
        <v>12</v>
      </c>
      <c r="U19" s="4">
        <f t="shared" si="6"/>
        <v>51</v>
      </c>
      <c r="V19" s="4">
        <f t="shared" si="27"/>
        <v>20</v>
      </c>
      <c r="W19" s="4">
        <f t="shared" si="7"/>
        <v>3</v>
      </c>
      <c r="X19" s="50" t="s">
        <v>103</v>
      </c>
      <c r="Y19" s="51">
        <v>16</v>
      </c>
      <c r="Z19" s="4">
        <f t="shared" si="8"/>
        <v>60</v>
      </c>
      <c r="AA19" s="4">
        <f t="shared" si="28"/>
        <v>31</v>
      </c>
      <c r="AB19" s="4">
        <f t="shared" si="9"/>
        <v>1</v>
      </c>
      <c r="AC19" s="50" t="s">
        <v>90</v>
      </c>
      <c r="AD19" s="51">
        <v>17</v>
      </c>
      <c r="AE19" s="4">
        <f t="shared" si="10"/>
        <v>47</v>
      </c>
      <c r="AF19" s="4">
        <f t="shared" si="29"/>
        <v>34</v>
      </c>
      <c r="AG19" s="4">
        <f t="shared" si="11"/>
        <v>5</v>
      </c>
      <c r="AH19" s="50" t="s">
        <v>90</v>
      </c>
      <c r="AI19" s="51">
        <v>17</v>
      </c>
      <c r="AJ19" s="4">
        <f t="shared" si="12"/>
        <v>63</v>
      </c>
      <c r="AK19" s="4">
        <f t="shared" si="30"/>
        <v>43</v>
      </c>
      <c r="AL19" s="4">
        <f t="shared" si="13"/>
        <v>10</v>
      </c>
      <c r="AM19" s="50" t="s">
        <v>90</v>
      </c>
      <c r="AN19" s="51">
        <v>16</v>
      </c>
      <c r="AO19" s="4">
        <f t="shared" si="14"/>
        <v>84</v>
      </c>
      <c r="AP19" s="4">
        <f t="shared" si="31"/>
        <v>50</v>
      </c>
      <c r="AQ19" s="4">
        <f t="shared" si="15"/>
        <v>10</v>
      </c>
      <c r="AR19" s="50" t="s">
        <v>90</v>
      </c>
      <c r="AS19" s="51">
        <v>16</v>
      </c>
      <c r="AT19" s="4">
        <f t="shared" si="16"/>
        <v>101</v>
      </c>
      <c r="AU19" s="4">
        <f t="shared" si="32"/>
        <v>65</v>
      </c>
      <c r="AV19" s="4">
        <f t="shared" si="17"/>
        <v>10</v>
      </c>
      <c r="AW19" s="50" t="s">
        <v>90</v>
      </c>
      <c r="AX19" s="51">
        <v>16</v>
      </c>
      <c r="AY19" s="4">
        <f t="shared" si="18"/>
        <v>116</v>
      </c>
      <c r="AZ19" s="4">
        <f t="shared" si="33"/>
        <v>72</v>
      </c>
      <c r="BA19" s="4">
        <f t="shared" si="19"/>
        <v>9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104</v>
      </c>
      <c r="C20" s="14">
        <v>16</v>
      </c>
      <c r="D20" s="50" t="s">
        <v>82</v>
      </c>
      <c r="E20" s="51">
        <v>0</v>
      </c>
      <c r="F20" s="4">
        <f t="shared" si="0"/>
        <v>20</v>
      </c>
      <c r="G20" s="4">
        <f t="shared" si="24"/>
        <v>11</v>
      </c>
      <c r="H20" s="4">
        <f t="shared" si="1"/>
        <v>0</v>
      </c>
      <c r="I20" s="50" t="s">
        <v>83</v>
      </c>
      <c r="J20" s="51">
        <v>0</v>
      </c>
      <c r="K20" s="4">
        <f t="shared" si="2"/>
        <v>37</v>
      </c>
      <c r="L20" s="4">
        <f t="shared" si="25"/>
        <v>18</v>
      </c>
      <c r="M20" s="4">
        <f t="shared" si="3"/>
        <v>0</v>
      </c>
      <c r="N20" s="50" t="s">
        <v>104</v>
      </c>
      <c r="O20" s="51">
        <v>2</v>
      </c>
      <c r="P20" s="4">
        <f t="shared" si="4"/>
        <v>48</v>
      </c>
      <c r="Q20" s="4">
        <f t="shared" si="26"/>
        <v>25</v>
      </c>
      <c r="R20" s="4">
        <f t="shared" si="5"/>
        <v>0</v>
      </c>
      <c r="S20" s="50" t="s">
        <v>104</v>
      </c>
      <c r="T20" s="51">
        <v>0</v>
      </c>
      <c r="U20" s="4">
        <f t="shared" si="6"/>
        <v>63</v>
      </c>
      <c r="V20" s="4">
        <f t="shared" si="27"/>
        <v>32</v>
      </c>
      <c r="W20" s="4">
        <f t="shared" si="7"/>
        <v>12</v>
      </c>
      <c r="X20" s="50" t="s">
        <v>104</v>
      </c>
      <c r="Y20" s="51">
        <v>2</v>
      </c>
      <c r="Z20" s="4">
        <f t="shared" si="8"/>
        <v>74</v>
      </c>
      <c r="AA20" s="4">
        <f t="shared" si="28"/>
        <v>45</v>
      </c>
      <c r="AB20" s="4">
        <f t="shared" si="9"/>
        <v>14</v>
      </c>
      <c r="AC20" s="50" t="s">
        <v>104</v>
      </c>
      <c r="AD20" s="51">
        <v>2</v>
      </c>
      <c r="AE20" s="4">
        <f t="shared" si="10"/>
        <v>62</v>
      </c>
      <c r="AF20" s="4">
        <f t="shared" si="29"/>
        <v>49</v>
      </c>
      <c r="AG20" s="4">
        <f t="shared" si="11"/>
        <v>15</v>
      </c>
      <c r="AH20" s="50" t="s">
        <v>104</v>
      </c>
      <c r="AI20" s="51">
        <v>6</v>
      </c>
      <c r="AJ20" s="4">
        <f t="shared" si="12"/>
        <v>74</v>
      </c>
      <c r="AK20" s="4">
        <f t="shared" si="30"/>
        <v>54</v>
      </c>
      <c r="AL20" s="4">
        <f t="shared" si="13"/>
        <v>11</v>
      </c>
      <c r="AM20" s="50" t="s">
        <v>104</v>
      </c>
      <c r="AN20" s="51">
        <v>6</v>
      </c>
      <c r="AO20" s="4">
        <f t="shared" si="14"/>
        <v>94</v>
      </c>
      <c r="AP20" s="4">
        <f t="shared" si="31"/>
        <v>60</v>
      </c>
      <c r="AQ20" s="4">
        <f t="shared" si="15"/>
        <v>10</v>
      </c>
      <c r="AR20" s="50" t="s">
        <v>104</v>
      </c>
      <c r="AS20" s="51">
        <v>6</v>
      </c>
      <c r="AT20" s="4">
        <f t="shared" si="16"/>
        <v>111</v>
      </c>
      <c r="AU20" s="4">
        <f t="shared" si="32"/>
        <v>75</v>
      </c>
      <c r="AV20" s="4">
        <f t="shared" si="17"/>
        <v>10</v>
      </c>
      <c r="AW20" s="50" t="s">
        <v>104</v>
      </c>
      <c r="AX20" s="51">
        <v>3</v>
      </c>
      <c r="AY20" s="4">
        <f t="shared" si="18"/>
        <v>129</v>
      </c>
      <c r="AZ20" s="4">
        <f t="shared" si="33"/>
        <v>85</v>
      </c>
      <c r="BA20" s="4">
        <f t="shared" si="19"/>
        <v>13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87</v>
      </c>
      <c r="C21" s="14">
        <v>17</v>
      </c>
      <c r="D21" s="50"/>
      <c r="E21" s="51">
        <v>1</v>
      </c>
      <c r="F21" s="4">
        <f t="shared" si="0"/>
        <v>19</v>
      </c>
      <c r="G21" s="4">
        <f t="shared" si="24"/>
        <v>10</v>
      </c>
      <c r="H21" s="4">
        <f t="shared" si="1"/>
        <v>-1</v>
      </c>
      <c r="I21" s="50" t="s">
        <v>82</v>
      </c>
      <c r="J21" s="51">
        <v>0</v>
      </c>
      <c r="K21" s="4">
        <f t="shared" si="2"/>
        <v>37</v>
      </c>
      <c r="L21" s="4">
        <f t="shared" si="25"/>
        <v>18</v>
      </c>
      <c r="M21" s="4">
        <f t="shared" si="3"/>
        <v>0</v>
      </c>
      <c r="N21" s="50" t="s">
        <v>87</v>
      </c>
      <c r="O21" s="51">
        <v>0</v>
      </c>
      <c r="P21" s="4">
        <f t="shared" si="4"/>
        <v>50</v>
      </c>
      <c r="Q21" s="4">
        <f t="shared" si="26"/>
        <v>27</v>
      </c>
      <c r="R21" s="4">
        <f t="shared" si="5"/>
        <v>2</v>
      </c>
      <c r="S21" s="50" t="s">
        <v>87</v>
      </c>
      <c r="T21" s="51">
        <v>0</v>
      </c>
      <c r="U21" s="4">
        <f t="shared" si="6"/>
        <v>63</v>
      </c>
      <c r="V21" s="4">
        <f t="shared" si="27"/>
        <v>32</v>
      </c>
      <c r="W21" s="4">
        <f t="shared" si="7"/>
        <v>0</v>
      </c>
      <c r="X21" s="50" t="s">
        <v>87</v>
      </c>
      <c r="Y21" s="51">
        <v>0</v>
      </c>
      <c r="Z21" s="4">
        <f t="shared" si="8"/>
        <v>76</v>
      </c>
      <c r="AA21" s="4">
        <f t="shared" si="28"/>
        <v>47</v>
      </c>
      <c r="AB21" s="4">
        <f t="shared" si="9"/>
        <v>2</v>
      </c>
      <c r="AC21" s="50" t="s">
        <v>87</v>
      </c>
      <c r="AD21" s="51">
        <v>0</v>
      </c>
      <c r="AE21" s="4">
        <f t="shared" si="10"/>
        <v>64</v>
      </c>
      <c r="AF21" s="4">
        <f t="shared" si="29"/>
        <v>51</v>
      </c>
      <c r="AG21" s="4">
        <f t="shared" si="11"/>
        <v>2</v>
      </c>
      <c r="AH21" s="50" t="s">
        <v>87</v>
      </c>
      <c r="AI21" s="51">
        <v>0</v>
      </c>
      <c r="AJ21" s="4">
        <f t="shared" si="12"/>
        <v>80</v>
      </c>
      <c r="AK21" s="4">
        <f t="shared" si="30"/>
        <v>60</v>
      </c>
      <c r="AL21" s="4">
        <f t="shared" si="13"/>
        <v>6</v>
      </c>
      <c r="AM21" s="50" t="s">
        <v>87</v>
      </c>
      <c r="AN21" s="51">
        <v>0</v>
      </c>
      <c r="AO21" s="4">
        <f t="shared" si="14"/>
        <v>100</v>
      </c>
      <c r="AP21" s="4">
        <f t="shared" si="31"/>
        <v>66</v>
      </c>
      <c r="AQ21" s="4">
        <f t="shared" si="15"/>
        <v>6</v>
      </c>
      <c r="AR21" s="50" t="s">
        <v>87</v>
      </c>
      <c r="AS21" s="51">
        <v>0</v>
      </c>
      <c r="AT21" s="4">
        <f t="shared" si="16"/>
        <v>117</v>
      </c>
      <c r="AU21" s="4">
        <f t="shared" si="32"/>
        <v>81</v>
      </c>
      <c r="AV21" s="4">
        <f t="shared" si="17"/>
        <v>6</v>
      </c>
      <c r="AW21" s="50" t="s">
        <v>87</v>
      </c>
      <c r="AX21" s="51">
        <v>0</v>
      </c>
      <c r="AY21" s="4">
        <f t="shared" si="18"/>
        <v>132</v>
      </c>
      <c r="AZ21" s="4">
        <f t="shared" si="33"/>
        <v>88</v>
      </c>
      <c r="BA21" s="4">
        <f t="shared" si="19"/>
        <v>3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82</v>
      </c>
      <c r="C22" s="14">
        <v>18</v>
      </c>
      <c r="D22" s="50"/>
      <c r="E22" s="51">
        <v>1</v>
      </c>
      <c r="F22" s="4">
        <f t="shared" si="0"/>
        <v>19</v>
      </c>
      <c r="G22" s="4">
        <f t="shared" si="24"/>
        <v>10</v>
      </c>
      <c r="H22" s="4">
        <f t="shared" si="1"/>
        <v>0</v>
      </c>
      <c r="I22" s="50"/>
      <c r="J22" s="51"/>
      <c r="K22" s="4">
        <f t="shared" si="2"/>
        <v>37</v>
      </c>
      <c r="L22" s="4">
        <f t="shared" si="25"/>
        <v>18</v>
      </c>
      <c r="M22" s="4">
        <f t="shared" si="3"/>
        <v>0</v>
      </c>
      <c r="N22" s="50" t="s">
        <v>82</v>
      </c>
      <c r="O22" s="51">
        <v>0</v>
      </c>
      <c r="P22" s="4">
        <f t="shared" si="4"/>
        <v>50</v>
      </c>
      <c r="Q22" s="4">
        <f t="shared" si="26"/>
        <v>27</v>
      </c>
      <c r="R22" s="4">
        <f t="shared" si="5"/>
        <v>0</v>
      </c>
      <c r="S22" s="50" t="s">
        <v>82</v>
      </c>
      <c r="T22" s="51">
        <v>0</v>
      </c>
      <c r="U22" s="4">
        <f t="shared" si="6"/>
        <v>63</v>
      </c>
      <c r="V22" s="4">
        <f t="shared" si="27"/>
        <v>32</v>
      </c>
      <c r="W22" s="4">
        <f t="shared" si="7"/>
        <v>0</v>
      </c>
      <c r="X22" s="50" t="s">
        <v>82</v>
      </c>
      <c r="Y22" s="51">
        <v>0</v>
      </c>
      <c r="Z22" s="4">
        <f t="shared" si="8"/>
        <v>76</v>
      </c>
      <c r="AA22" s="4">
        <f t="shared" si="28"/>
        <v>47</v>
      </c>
      <c r="AB22" s="4">
        <f t="shared" si="9"/>
        <v>0</v>
      </c>
      <c r="AC22" s="50" t="s">
        <v>82</v>
      </c>
      <c r="AD22" s="51">
        <v>0</v>
      </c>
      <c r="AE22" s="4">
        <f t="shared" si="10"/>
        <v>64</v>
      </c>
      <c r="AF22" s="4">
        <f t="shared" si="29"/>
        <v>51</v>
      </c>
      <c r="AG22" s="4">
        <f t="shared" si="11"/>
        <v>0</v>
      </c>
      <c r="AH22" s="50" t="s">
        <v>82</v>
      </c>
      <c r="AI22" s="51">
        <v>0</v>
      </c>
      <c r="AJ22" s="4">
        <f t="shared" si="12"/>
        <v>80</v>
      </c>
      <c r="AK22" s="4">
        <f t="shared" si="30"/>
        <v>60</v>
      </c>
      <c r="AL22" s="4">
        <f t="shared" si="13"/>
        <v>0</v>
      </c>
      <c r="AM22" s="50" t="s">
        <v>82</v>
      </c>
      <c r="AN22" s="51">
        <v>0</v>
      </c>
      <c r="AO22" s="4">
        <f t="shared" si="14"/>
        <v>100</v>
      </c>
      <c r="AP22" s="4">
        <f t="shared" si="31"/>
        <v>66</v>
      </c>
      <c r="AQ22" s="4">
        <f t="shared" si="15"/>
        <v>0</v>
      </c>
      <c r="AR22" s="50" t="s">
        <v>82</v>
      </c>
      <c r="AS22" s="51">
        <v>0</v>
      </c>
      <c r="AT22" s="4">
        <f t="shared" si="16"/>
        <v>117</v>
      </c>
      <c r="AU22" s="4">
        <f t="shared" si="32"/>
        <v>81</v>
      </c>
      <c r="AV22" s="4">
        <f t="shared" si="17"/>
        <v>0</v>
      </c>
      <c r="AW22" s="50" t="s">
        <v>82</v>
      </c>
      <c r="AX22" s="51">
        <v>0</v>
      </c>
      <c r="AY22" s="4">
        <f t="shared" si="18"/>
        <v>132</v>
      </c>
      <c r="AZ22" s="4">
        <f t="shared" si="33"/>
        <v>88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/>
      <c r="C23" s="14">
        <v>19</v>
      </c>
      <c r="D23" s="50"/>
      <c r="E23" s="51">
        <v>1</v>
      </c>
      <c r="F23" s="4">
        <f t="shared" si="0"/>
        <v>19</v>
      </c>
      <c r="G23" s="4">
        <f t="shared" si="24"/>
        <v>10</v>
      </c>
      <c r="H23" s="4">
        <f t="shared" si="1"/>
        <v>0</v>
      </c>
      <c r="I23" s="50"/>
      <c r="J23" s="51"/>
      <c r="K23" s="4">
        <f t="shared" si="2"/>
        <v>37</v>
      </c>
      <c r="L23" s="4">
        <f t="shared" si="25"/>
        <v>18</v>
      </c>
      <c r="M23" s="4">
        <f t="shared" si="3"/>
        <v>0</v>
      </c>
      <c r="N23" s="50"/>
      <c r="O23" s="51"/>
      <c r="P23" s="4">
        <f t="shared" si="4"/>
        <v>50</v>
      </c>
      <c r="Q23" s="4">
        <f t="shared" si="26"/>
        <v>27</v>
      </c>
      <c r="R23" s="4">
        <f t="shared" si="5"/>
        <v>0</v>
      </c>
      <c r="S23" s="50"/>
      <c r="T23" s="51"/>
      <c r="U23" s="4">
        <f t="shared" si="6"/>
        <v>63</v>
      </c>
      <c r="V23" s="4">
        <f t="shared" si="27"/>
        <v>32</v>
      </c>
      <c r="W23" s="4">
        <f t="shared" si="7"/>
        <v>0</v>
      </c>
      <c r="X23" s="50"/>
      <c r="Y23" s="51"/>
      <c r="Z23" s="4">
        <f t="shared" si="8"/>
        <v>76</v>
      </c>
      <c r="AA23" s="4">
        <f t="shared" si="28"/>
        <v>47</v>
      </c>
      <c r="AB23" s="4">
        <f t="shared" si="9"/>
        <v>0</v>
      </c>
      <c r="AC23" s="50"/>
      <c r="AD23" s="51"/>
      <c r="AE23" s="4">
        <f t="shared" si="10"/>
        <v>64</v>
      </c>
      <c r="AF23" s="4">
        <f t="shared" si="29"/>
        <v>51</v>
      </c>
      <c r="AG23" s="4">
        <f t="shared" si="11"/>
        <v>0</v>
      </c>
      <c r="AH23" s="50"/>
      <c r="AI23" s="51"/>
      <c r="AJ23" s="4">
        <f t="shared" si="12"/>
        <v>80</v>
      </c>
      <c r="AK23" s="4">
        <f t="shared" si="30"/>
        <v>60</v>
      </c>
      <c r="AL23" s="4">
        <f t="shared" si="13"/>
        <v>0</v>
      </c>
      <c r="AM23" s="50"/>
      <c r="AN23" s="51"/>
      <c r="AO23" s="4">
        <f t="shared" si="14"/>
        <v>100</v>
      </c>
      <c r="AP23" s="4">
        <f t="shared" si="31"/>
        <v>66</v>
      </c>
      <c r="AQ23" s="4">
        <f t="shared" si="15"/>
        <v>0</v>
      </c>
      <c r="AR23" s="50"/>
      <c r="AS23" s="51"/>
      <c r="AT23" s="4">
        <f t="shared" si="16"/>
        <v>117</v>
      </c>
      <c r="AU23" s="4">
        <f t="shared" si="32"/>
        <v>81</v>
      </c>
      <c r="AV23" s="4">
        <f t="shared" si="17"/>
        <v>0</v>
      </c>
      <c r="AW23" s="50"/>
      <c r="AX23" s="51"/>
      <c r="AY23" s="4">
        <f t="shared" si="18"/>
        <v>132</v>
      </c>
      <c r="AZ23" s="4">
        <f t="shared" si="33"/>
        <v>88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 t="shared" si="0"/>
        <v>20</v>
      </c>
      <c r="G24" s="4">
        <f t="shared" si="24"/>
        <v>11</v>
      </c>
      <c r="H24" s="4">
        <f t="shared" si="1"/>
        <v>1</v>
      </c>
      <c r="I24" s="50"/>
      <c r="J24" s="51"/>
      <c r="K24" s="4">
        <f t="shared" si="2"/>
        <v>37</v>
      </c>
      <c r="L24" s="4">
        <f t="shared" si="25"/>
        <v>18</v>
      </c>
      <c r="M24" s="4">
        <f t="shared" si="3"/>
        <v>0</v>
      </c>
      <c r="N24" s="50"/>
      <c r="O24" s="51"/>
      <c r="P24" s="4">
        <f t="shared" si="4"/>
        <v>50</v>
      </c>
      <c r="Q24" s="4">
        <f t="shared" si="26"/>
        <v>27</v>
      </c>
      <c r="R24" s="4">
        <f t="shared" si="5"/>
        <v>0</v>
      </c>
      <c r="S24" s="50"/>
      <c r="T24" s="51"/>
      <c r="U24" s="4">
        <f t="shared" si="6"/>
        <v>63</v>
      </c>
      <c r="V24" s="4">
        <f t="shared" si="27"/>
        <v>32</v>
      </c>
      <c r="W24" s="4">
        <f t="shared" si="7"/>
        <v>0</v>
      </c>
      <c r="X24" s="50"/>
      <c r="Y24" s="51"/>
      <c r="Z24" s="4">
        <f t="shared" si="8"/>
        <v>76</v>
      </c>
      <c r="AA24" s="4">
        <f t="shared" si="28"/>
        <v>47</v>
      </c>
      <c r="AB24" s="4">
        <f t="shared" si="9"/>
        <v>0</v>
      </c>
      <c r="AC24" s="50"/>
      <c r="AD24" s="51"/>
      <c r="AE24" s="4">
        <f t="shared" si="10"/>
        <v>64</v>
      </c>
      <c r="AF24" s="4">
        <f t="shared" si="29"/>
        <v>51</v>
      </c>
      <c r="AG24" s="4">
        <f t="shared" si="11"/>
        <v>0</v>
      </c>
      <c r="AH24" s="50"/>
      <c r="AI24" s="51"/>
      <c r="AJ24" s="4">
        <f t="shared" si="12"/>
        <v>80</v>
      </c>
      <c r="AK24" s="4">
        <f t="shared" si="30"/>
        <v>60</v>
      </c>
      <c r="AL24" s="4">
        <f t="shared" si="13"/>
        <v>0</v>
      </c>
      <c r="AM24" s="50"/>
      <c r="AN24" s="51"/>
      <c r="AO24" s="4">
        <f t="shared" si="14"/>
        <v>100</v>
      </c>
      <c r="AP24" s="4">
        <f t="shared" si="31"/>
        <v>66</v>
      </c>
      <c r="AQ24" s="4">
        <f t="shared" si="15"/>
        <v>0</v>
      </c>
      <c r="AR24" s="50"/>
      <c r="AS24" s="51"/>
      <c r="AT24" s="4">
        <f t="shared" si="16"/>
        <v>117</v>
      </c>
      <c r="AU24" s="4">
        <f t="shared" si="32"/>
        <v>81</v>
      </c>
      <c r="AV24" s="4">
        <f t="shared" si="17"/>
        <v>0</v>
      </c>
      <c r="AW24" s="50"/>
      <c r="AX24" s="51"/>
      <c r="AY24" s="4">
        <f t="shared" si="18"/>
        <v>132</v>
      </c>
      <c r="AZ24" s="4">
        <f t="shared" si="33"/>
        <v>88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 t="shared" si="0"/>
        <v>20</v>
      </c>
      <c r="G25" s="4">
        <f t="shared" si="24"/>
        <v>11</v>
      </c>
      <c r="H25" s="4">
        <f t="shared" si="1"/>
        <v>0</v>
      </c>
      <c r="I25" s="50"/>
      <c r="J25" s="51"/>
      <c r="K25" s="4">
        <f t="shared" si="2"/>
        <v>37</v>
      </c>
      <c r="L25" s="4">
        <f t="shared" si="25"/>
        <v>18</v>
      </c>
      <c r="M25" s="4">
        <f t="shared" si="3"/>
        <v>0</v>
      </c>
      <c r="N25" s="50"/>
      <c r="O25" s="51"/>
      <c r="P25" s="4">
        <f t="shared" si="4"/>
        <v>50</v>
      </c>
      <c r="Q25" s="4">
        <f t="shared" si="26"/>
        <v>27</v>
      </c>
      <c r="R25" s="4">
        <f t="shared" si="5"/>
        <v>0</v>
      </c>
      <c r="S25" s="50"/>
      <c r="T25" s="51"/>
      <c r="U25" s="4">
        <f t="shared" si="6"/>
        <v>63</v>
      </c>
      <c r="V25" s="4">
        <f t="shared" si="27"/>
        <v>32</v>
      </c>
      <c r="W25" s="4">
        <f t="shared" si="7"/>
        <v>0</v>
      </c>
      <c r="X25" s="50"/>
      <c r="Y25" s="51"/>
      <c r="Z25" s="4">
        <f t="shared" si="8"/>
        <v>76</v>
      </c>
      <c r="AA25" s="4">
        <f t="shared" si="28"/>
        <v>47</v>
      </c>
      <c r="AB25" s="4">
        <f t="shared" si="9"/>
        <v>0</v>
      </c>
      <c r="AC25" s="50"/>
      <c r="AD25" s="51"/>
      <c r="AE25" s="4">
        <f t="shared" si="10"/>
        <v>64</v>
      </c>
      <c r="AF25" s="4">
        <f t="shared" si="29"/>
        <v>51</v>
      </c>
      <c r="AG25" s="4">
        <f t="shared" si="11"/>
        <v>0</v>
      </c>
      <c r="AH25" s="50"/>
      <c r="AI25" s="51"/>
      <c r="AJ25" s="4">
        <f t="shared" si="12"/>
        <v>80</v>
      </c>
      <c r="AK25" s="4">
        <f t="shared" si="30"/>
        <v>60</v>
      </c>
      <c r="AL25" s="4">
        <f t="shared" si="13"/>
        <v>0</v>
      </c>
      <c r="AM25" s="50"/>
      <c r="AN25" s="51"/>
      <c r="AO25" s="4">
        <f t="shared" si="14"/>
        <v>100</v>
      </c>
      <c r="AP25" s="4">
        <f t="shared" si="31"/>
        <v>66</v>
      </c>
      <c r="AQ25" s="4">
        <f t="shared" si="15"/>
        <v>0</v>
      </c>
      <c r="AR25" s="50"/>
      <c r="AS25" s="51"/>
      <c r="AT25" s="4">
        <f t="shared" si="16"/>
        <v>117</v>
      </c>
      <c r="AU25" s="4">
        <f t="shared" si="32"/>
        <v>81</v>
      </c>
      <c r="AV25" s="4">
        <f t="shared" si="17"/>
        <v>0</v>
      </c>
      <c r="AW25" s="50"/>
      <c r="AX25" s="51"/>
      <c r="AY25" s="4">
        <f t="shared" si="18"/>
        <v>132</v>
      </c>
      <c r="AZ25" s="4">
        <f t="shared" si="33"/>
        <v>88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 t="shared" si="0"/>
        <v>20</v>
      </c>
      <c r="G26" s="4">
        <f t="shared" si="24"/>
        <v>11</v>
      </c>
      <c r="H26" s="4">
        <f t="shared" si="1"/>
        <v>0</v>
      </c>
      <c r="I26" s="50"/>
      <c r="J26" s="51"/>
      <c r="K26" s="4">
        <f t="shared" si="2"/>
        <v>37</v>
      </c>
      <c r="L26" s="4">
        <f t="shared" si="25"/>
        <v>18</v>
      </c>
      <c r="M26" s="4">
        <f t="shared" si="3"/>
        <v>0</v>
      </c>
      <c r="N26" s="50"/>
      <c r="O26" s="51"/>
      <c r="P26" s="4">
        <f t="shared" si="4"/>
        <v>50</v>
      </c>
      <c r="Q26" s="4">
        <f t="shared" si="26"/>
        <v>27</v>
      </c>
      <c r="R26" s="4">
        <f t="shared" si="5"/>
        <v>0</v>
      </c>
      <c r="S26" s="50"/>
      <c r="T26" s="51"/>
      <c r="U26" s="4">
        <f t="shared" si="6"/>
        <v>63</v>
      </c>
      <c r="V26" s="4">
        <f t="shared" si="27"/>
        <v>32</v>
      </c>
      <c r="W26" s="4">
        <f t="shared" si="7"/>
        <v>0</v>
      </c>
      <c r="X26" s="50"/>
      <c r="Y26" s="51"/>
      <c r="Z26" s="4">
        <f t="shared" si="8"/>
        <v>76</v>
      </c>
      <c r="AA26" s="4">
        <f t="shared" si="28"/>
        <v>47</v>
      </c>
      <c r="AB26" s="4">
        <f t="shared" si="9"/>
        <v>0</v>
      </c>
      <c r="AC26" s="50"/>
      <c r="AD26" s="51"/>
      <c r="AE26" s="4">
        <f t="shared" si="10"/>
        <v>64</v>
      </c>
      <c r="AF26" s="4">
        <f t="shared" si="29"/>
        <v>51</v>
      </c>
      <c r="AG26" s="4">
        <f t="shared" si="11"/>
        <v>0</v>
      </c>
      <c r="AH26" s="50"/>
      <c r="AI26" s="51"/>
      <c r="AJ26" s="4">
        <f t="shared" si="12"/>
        <v>80</v>
      </c>
      <c r="AK26" s="4">
        <f t="shared" si="30"/>
        <v>60</v>
      </c>
      <c r="AL26" s="4">
        <f t="shared" si="13"/>
        <v>0</v>
      </c>
      <c r="AM26" s="50"/>
      <c r="AN26" s="51"/>
      <c r="AO26" s="4">
        <f t="shared" si="14"/>
        <v>100</v>
      </c>
      <c r="AP26" s="4">
        <f t="shared" si="31"/>
        <v>66</v>
      </c>
      <c r="AQ26" s="4">
        <f t="shared" si="15"/>
        <v>0</v>
      </c>
      <c r="AR26" s="50"/>
      <c r="AS26" s="51"/>
      <c r="AT26" s="4">
        <f t="shared" si="16"/>
        <v>117</v>
      </c>
      <c r="AU26" s="4">
        <f t="shared" si="32"/>
        <v>81</v>
      </c>
      <c r="AV26" s="4">
        <f t="shared" si="17"/>
        <v>0</v>
      </c>
      <c r="AW26" s="50"/>
      <c r="AX26" s="51"/>
      <c r="AY26" s="4">
        <f t="shared" si="18"/>
        <v>132</v>
      </c>
      <c r="AZ26" s="4">
        <f t="shared" si="33"/>
        <v>88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 t="shared" si="0"/>
        <v>20</v>
      </c>
      <c r="G27" s="4">
        <f t="shared" si="24"/>
        <v>11</v>
      </c>
      <c r="H27" s="4">
        <f t="shared" si="1"/>
        <v>0</v>
      </c>
      <c r="I27" s="50"/>
      <c r="J27" s="51"/>
      <c r="K27" s="4">
        <f t="shared" si="2"/>
        <v>37</v>
      </c>
      <c r="L27" s="4">
        <f t="shared" si="25"/>
        <v>18</v>
      </c>
      <c r="M27" s="4">
        <f t="shared" si="3"/>
        <v>0</v>
      </c>
      <c r="N27" s="50"/>
      <c r="O27" s="51"/>
      <c r="P27" s="4">
        <f t="shared" si="4"/>
        <v>50</v>
      </c>
      <c r="Q27" s="4">
        <f t="shared" si="26"/>
        <v>27</v>
      </c>
      <c r="R27" s="4">
        <f t="shared" si="5"/>
        <v>0</v>
      </c>
      <c r="S27" s="50"/>
      <c r="T27" s="51"/>
      <c r="U27" s="4">
        <f t="shared" si="6"/>
        <v>63</v>
      </c>
      <c r="V27" s="4">
        <f t="shared" si="27"/>
        <v>32</v>
      </c>
      <c r="W27" s="4">
        <f t="shared" si="7"/>
        <v>0</v>
      </c>
      <c r="X27" s="50"/>
      <c r="Y27" s="51"/>
      <c r="Z27" s="4">
        <f t="shared" si="8"/>
        <v>76</v>
      </c>
      <c r="AA27" s="4">
        <f t="shared" si="28"/>
        <v>47</v>
      </c>
      <c r="AB27" s="4">
        <f t="shared" si="9"/>
        <v>0</v>
      </c>
      <c r="AC27" s="50"/>
      <c r="AD27" s="51"/>
      <c r="AE27" s="4">
        <f t="shared" si="10"/>
        <v>64</v>
      </c>
      <c r="AF27" s="4">
        <f t="shared" si="29"/>
        <v>51</v>
      </c>
      <c r="AG27" s="4">
        <f t="shared" si="11"/>
        <v>0</v>
      </c>
      <c r="AH27" s="50"/>
      <c r="AI27" s="51"/>
      <c r="AJ27" s="4">
        <f t="shared" si="12"/>
        <v>80</v>
      </c>
      <c r="AK27" s="4">
        <f t="shared" si="30"/>
        <v>60</v>
      </c>
      <c r="AL27" s="4">
        <f t="shared" si="13"/>
        <v>0</v>
      </c>
      <c r="AM27" s="50"/>
      <c r="AN27" s="51"/>
      <c r="AO27" s="4">
        <f t="shared" si="14"/>
        <v>100</v>
      </c>
      <c r="AP27" s="4">
        <f t="shared" si="31"/>
        <v>66</v>
      </c>
      <c r="AQ27" s="4">
        <f t="shared" si="15"/>
        <v>0</v>
      </c>
      <c r="AR27" s="50"/>
      <c r="AS27" s="51"/>
      <c r="AT27" s="4">
        <f t="shared" si="16"/>
        <v>117</v>
      </c>
      <c r="AU27" s="4">
        <f t="shared" si="32"/>
        <v>81</v>
      </c>
      <c r="AV27" s="4">
        <f t="shared" si="17"/>
        <v>0</v>
      </c>
      <c r="AW27" s="50"/>
      <c r="AX27" s="51"/>
      <c r="AY27" s="4">
        <f t="shared" si="18"/>
        <v>132</v>
      </c>
      <c r="AZ27" s="4">
        <f t="shared" si="33"/>
        <v>88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 t="shared" si="0"/>
        <v>20</v>
      </c>
      <c r="G28" s="4">
        <f t="shared" si="24"/>
        <v>11</v>
      </c>
      <c r="H28" s="4">
        <f t="shared" si="1"/>
        <v>0</v>
      </c>
      <c r="I28" s="50"/>
      <c r="J28" s="51"/>
      <c r="K28" s="4">
        <f t="shared" si="2"/>
        <v>37</v>
      </c>
      <c r="L28" s="4">
        <f t="shared" si="25"/>
        <v>18</v>
      </c>
      <c r="M28" s="4">
        <f t="shared" si="3"/>
        <v>0</v>
      </c>
      <c r="N28" s="50"/>
      <c r="O28" s="51"/>
      <c r="P28" s="4">
        <f t="shared" si="4"/>
        <v>50</v>
      </c>
      <c r="Q28" s="4">
        <f t="shared" si="26"/>
        <v>27</v>
      </c>
      <c r="R28" s="4">
        <f t="shared" si="5"/>
        <v>0</v>
      </c>
      <c r="S28" s="50"/>
      <c r="T28" s="51"/>
      <c r="U28" s="4">
        <f t="shared" si="6"/>
        <v>63</v>
      </c>
      <c r="V28" s="4">
        <f t="shared" si="27"/>
        <v>32</v>
      </c>
      <c r="W28" s="4">
        <f t="shared" si="7"/>
        <v>0</v>
      </c>
      <c r="X28" s="50"/>
      <c r="Y28" s="51"/>
      <c r="Z28" s="4">
        <f t="shared" si="8"/>
        <v>76</v>
      </c>
      <c r="AA28" s="4">
        <f t="shared" si="28"/>
        <v>47</v>
      </c>
      <c r="AB28" s="4">
        <f t="shared" si="9"/>
        <v>0</v>
      </c>
      <c r="AC28" s="50"/>
      <c r="AD28" s="51"/>
      <c r="AE28" s="4">
        <f t="shared" si="10"/>
        <v>64</v>
      </c>
      <c r="AF28" s="4">
        <f t="shared" si="29"/>
        <v>51</v>
      </c>
      <c r="AG28" s="4">
        <f t="shared" si="11"/>
        <v>0</v>
      </c>
      <c r="AH28" s="50"/>
      <c r="AI28" s="51"/>
      <c r="AJ28" s="4">
        <f t="shared" si="12"/>
        <v>80</v>
      </c>
      <c r="AK28" s="4">
        <f t="shared" si="30"/>
        <v>60</v>
      </c>
      <c r="AL28" s="4">
        <f t="shared" si="13"/>
        <v>0</v>
      </c>
      <c r="AM28" s="50"/>
      <c r="AN28" s="51"/>
      <c r="AO28" s="4">
        <f t="shared" si="14"/>
        <v>100</v>
      </c>
      <c r="AP28" s="4">
        <f t="shared" si="31"/>
        <v>66</v>
      </c>
      <c r="AQ28" s="4">
        <f t="shared" si="15"/>
        <v>0</v>
      </c>
      <c r="AR28" s="50"/>
      <c r="AS28" s="51"/>
      <c r="AT28" s="4">
        <f t="shared" si="16"/>
        <v>117</v>
      </c>
      <c r="AU28" s="4">
        <f t="shared" si="32"/>
        <v>81</v>
      </c>
      <c r="AV28" s="4">
        <f t="shared" si="17"/>
        <v>0</v>
      </c>
      <c r="AW28" s="50"/>
      <c r="AX28" s="51"/>
      <c r="AY28" s="4">
        <f t="shared" si="18"/>
        <v>132</v>
      </c>
      <c r="AZ28" s="4">
        <f t="shared" si="33"/>
        <v>88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 t="shared" si="0"/>
        <v>20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37</v>
      </c>
      <c r="L29" s="4">
        <f t="shared" si="25"/>
        <v>18</v>
      </c>
      <c r="M29" s="4">
        <f t="shared" si="3"/>
        <v>0</v>
      </c>
      <c r="N29" s="50"/>
      <c r="O29" s="51"/>
      <c r="P29" s="4">
        <f t="shared" si="4"/>
        <v>50</v>
      </c>
      <c r="Q29" s="4">
        <f t="shared" si="26"/>
        <v>27</v>
      </c>
      <c r="R29" s="4">
        <f t="shared" si="5"/>
        <v>0</v>
      </c>
      <c r="S29" s="50"/>
      <c r="T29" s="51"/>
      <c r="U29" s="4">
        <f t="shared" si="6"/>
        <v>63</v>
      </c>
      <c r="V29" s="4">
        <f t="shared" si="27"/>
        <v>32</v>
      </c>
      <c r="W29" s="4">
        <f t="shared" si="7"/>
        <v>0</v>
      </c>
      <c r="X29" s="50"/>
      <c r="Y29" s="51"/>
      <c r="Z29" s="4">
        <f t="shared" si="8"/>
        <v>76</v>
      </c>
      <c r="AA29" s="4">
        <f t="shared" si="28"/>
        <v>47</v>
      </c>
      <c r="AB29" s="4">
        <f t="shared" si="9"/>
        <v>0</v>
      </c>
      <c r="AC29" s="50"/>
      <c r="AD29" s="51"/>
      <c r="AE29" s="4">
        <f t="shared" si="10"/>
        <v>64</v>
      </c>
      <c r="AF29" s="4">
        <f t="shared" si="29"/>
        <v>51</v>
      </c>
      <c r="AG29" s="4">
        <f t="shared" si="11"/>
        <v>0</v>
      </c>
      <c r="AH29" s="50"/>
      <c r="AI29" s="51"/>
      <c r="AJ29" s="4">
        <f t="shared" si="12"/>
        <v>80</v>
      </c>
      <c r="AK29" s="4">
        <f t="shared" si="30"/>
        <v>60</v>
      </c>
      <c r="AL29" s="4">
        <f t="shared" si="13"/>
        <v>0</v>
      </c>
      <c r="AM29" s="50"/>
      <c r="AN29" s="51"/>
      <c r="AO29" s="4">
        <f t="shared" si="14"/>
        <v>100</v>
      </c>
      <c r="AP29" s="4">
        <f t="shared" si="31"/>
        <v>66</v>
      </c>
      <c r="AQ29" s="4">
        <f t="shared" si="15"/>
        <v>0</v>
      </c>
      <c r="AR29" s="50"/>
      <c r="AS29" s="51"/>
      <c r="AT29" s="4">
        <f t="shared" si="16"/>
        <v>117</v>
      </c>
      <c r="AU29" s="4">
        <f t="shared" si="32"/>
        <v>81</v>
      </c>
      <c r="AV29" s="4">
        <f t="shared" si="17"/>
        <v>0</v>
      </c>
      <c r="AW29" s="50"/>
      <c r="AX29" s="51"/>
      <c r="AY29" s="4">
        <f t="shared" si="18"/>
        <v>132</v>
      </c>
      <c r="AZ29" s="4">
        <f t="shared" si="33"/>
        <v>88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20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37</v>
      </c>
      <c r="L30" s="4">
        <f t="shared" si="25"/>
        <v>18</v>
      </c>
      <c r="M30" s="4">
        <f t="shared" si="3"/>
        <v>0</v>
      </c>
      <c r="N30" s="50"/>
      <c r="O30" s="51"/>
      <c r="P30" s="4">
        <f t="shared" si="4"/>
        <v>50</v>
      </c>
      <c r="Q30" s="4">
        <f t="shared" si="26"/>
        <v>27</v>
      </c>
      <c r="R30" s="4">
        <f t="shared" si="5"/>
        <v>0</v>
      </c>
      <c r="S30" s="50"/>
      <c r="T30" s="51"/>
      <c r="U30" s="4">
        <f t="shared" si="6"/>
        <v>63</v>
      </c>
      <c r="V30" s="4">
        <f t="shared" si="27"/>
        <v>32</v>
      </c>
      <c r="W30" s="4">
        <f t="shared" si="7"/>
        <v>0</v>
      </c>
      <c r="X30" s="50"/>
      <c r="Y30" s="51"/>
      <c r="Z30" s="4">
        <f t="shared" si="8"/>
        <v>76</v>
      </c>
      <c r="AA30" s="4">
        <f t="shared" si="28"/>
        <v>47</v>
      </c>
      <c r="AB30" s="4">
        <f t="shared" si="9"/>
        <v>0</v>
      </c>
      <c r="AC30" s="50"/>
      <c r="AD30" s="51"/>
      <c r="AE30" s="4">
        <f t="shared" si="10"/>
        <v>64</v>
      </c>
      <c r="AF30" s="4">
        <f t="shared" si="29"/>
        <v>51</v>
      </c>
      <c r="AG30" s="4">
        <f t="shared" si="11"/>
        <v>0</v>
      </c>
      <c r="AH30" s="50"/>
      <c r="AI30" s="51"/>
      <c r="AJ30" s="4">
        <f t="shared" si="12"/>
        <v>80</v>
      </c>
      <c r="AK30" s="4">
        <f t="shared" si="30"/>
        <v>60</v>
      </c>
      <c r="AL30" s="4">
        <f t="shared" si="13"/>
        <v>0</v>
      </c>
      <c r="AM30" s="50"/>
      <c r="AN30" s="51"/>
      <c r="AO30" s="4">
        <f t="shared" si="14"/>
        <v>100</v>
      </c>
      <c r="AP30" s="4">
        <f t="shared" si="31"/>
        <v>66</v>
      </c>
      <c r="AQ30" s="4">
        <f t="shared" si="15"/>
        <v>0</v>
      </c>
      <c r="AR30" s="50"/>
      <c r="AS30" s="51"/>
      <c r="AT30" s="4">
        <f t="shared" si="16"/>
        <v>117</v>
      </c>
      <c r="AU30" s="4">
        <f t="shared" si="32"/>
        <v>81</v>
      </c>
      <c r="AV30" s="4">
        <f t="shared" si="17"/>
        <v>0</v>
      </c>
      <c r="AW30" s="50"/>
      <c r="AX30" s="51"/>
      <c r="AY30" s="4">
        <f t="shared" si="18"/>
        <v>132</v>
      </c>
      <c r="AZ30" s="4">
        <f t="shared" si="33"/>
        <v>88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20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37</v>
      </c>
      <c r="L31" s="4">
        <f t="shared" si="25"/>
        <v>18</v>
      </c>
      <c r="M31" s="4">
        <f t="shared" si="3"/>
        <v>0</v>
      </c>
      <c r="N31" s="50"/>
      <c r="O31" s="51"/>
      <c r="P31" s="4">
        <f t="shared" si="4"/>
        <v>50</v>
      </c>
      <c r="Q31" s="4">
        <f t="shared" si="26"/>
        <v>27</v>
      </c>
      <c r="R31" s="4">
        <f t="shared" si="5"/>
        <v>0</v>
      </c>
      <c r="S31" s="50"/>
      <c r="T31" s="51"/>
      <c r="U31" s="4">
        <f t="shared" si="6"/>
        <v>63</v>
      </c>
      <c r="V31" s="4">
        <f t="shared" si="27"/>
        <v>32</v>
      </c>
      <c r="W31" s="4">
        <f t="shared" si="7"/>
        <v>0</v>
      </c>
      <c r="X31" s="50"/>
      <c r="Y31" s="51"/>
      <c r="Z31" s="4">
        <f t="shared" si="8"/>
        <v>76</v>
      </c>
      <c r="AA31" s="4">
        <f t="shared" si="28"/>
        <v>47</v>
      </c>
      <c r="AB31" s="4">
        <f t="shared" si="9"/>
        <v>0</v>
      </c>
      <c r="AC31" s="50"/>
      <c r="AD31" s="51"/>
      <c r="AE31" s="4">
        <f t="shared" si="10"/>
        <v>64</v>
      </c>
      <c r="AF31" s="4">
        <f t="shared" si="29"/>
        <v>51</v>
      </c>
      <c r="AG31" s="4">
        <f t="shared" si="11"/>
        <v>0</v>
      </c>
      <c r="AH31" s="50"/>
      <c r="AI31" s="51"/>
      <c r="AJ31" s="4">
        <f t="shared" si="12"/>
        <v>80</v>
      </c>
      <c r="AK31" s="4">
        <f t="shared" si="30"/>
        <v>60</v>
      </c>
      <c r="AL31" s="4">
        <f t="shared" si="13"/>
        <v>0</v>
      </c>
      <c r="AM31" s="50"/>
      <c r="AN31" s="51"/>
      <c r="AO31" s="4">
        <f t="shared" si="14"/>
        <v>100</v>
      </c>
      <c r="AP31" s="4">
        <f t="shared" si="31"/>
        <v>66</v>
      </c>
      <c r="AQ31" s="4">
        <f t="shared" si="15"/>
        <v>0</v>
      </c>
      <c r="AR31" s="50"/>
      <c r="AS31" s="51"/>
      <c r="AT31" s="4">
        <f t="shared" si="16"/>
        <v>117</v>
      </c>
      <c r="AU31" s="4">
        <f t="shared" si="32"/>
        <v>81</v>
      </c>
      <c r="AV31" s="4">
        <f t="shared" si="17"/>
        <v>0</v>
      </c>
      <c r="AW31" s="50"/>
      <c r="AX31" s="51"/>
      <c r="AY31" s="4">
        <f t="shared" si="18"/>
        <v>132</v>
      </c>
      <c r="AZ31" s="4">
        <f t="shared" si="33"/>
        <v>88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20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37</v>
      </c>
      <c r="L32" s="4">
        <f t="shared" si="25"/>
        <v>18</v>
      </c>
      <c r="M32" s="4">
        <f t="shared" si="3"/>
        <v>0</v>
      </c>
      <c r="N32" s="50"/>
      <c r="O32" s="51"/>
      <c r="P32" s="4">
        <f t="shared" si="4"/>
        <v>50</v>
      </c>
      <c r="Q32" s="4">
        <f t="shared" si="26"/>
        <v>27</v>
      </c>
      <c r="R32" s="4">
        <f t="shared" si="5"/>
        <v>0</v>
      </c>
      <c r="S32" s="50"/>
      <c r="T32" s="51"/>
      <c r="U32" s="4">
        <f t="shared" si="6"/>
        <v>63</v>
      </c>
      <c r="V32" s="4">
        <f t="shared" si="27"/>
        <v>32</v>
      </c>
      <c r="W32" s="4">
        <f t="shared" si="7"/>
        <v>0</v>
      </c>
      <c r="X32" s="50"/>
      <c r="Y32" s="51"/>
      <c r="Z32" s="4">
        <f t="shared" si="8"/>
        <v>76</v>
      </c>
      <c r="AA32" s="4">
        <f t="shared" si="28"/>
        <v>47</v>
      </c>
      <c r="AB32" s="4">
        <f t="shared" si="9"/>
        <v>0</v>
      </c>
      <c r="AC32" s="50"/>
      <c r="AD32" s="51"/>
      <c r="AE32" s="4">
        <f t="shared" si="10"/>
        <v>64</v>
      </c>
      <c r="AF32" s="4">
        <f t="shared" si="29"/>
        <v>51</v>
      </c>
      <c r="AG32" s="4">
        <f t="shared" si="11"/>
        <v>0</v>
      </c>
      <c r="AH32" s="50"/>
      <c r="AI32" s="51"/>
      <c r="AJ32" s="4">
        <f t="shared" si="12"/>
        <v>80</v>
      </c>
      <c r="AK32" s="4">
        <f t="shared" si="30"/>
        <v>60</v>
      </c>
      <c r="AL32" s="4">
        <f t="shared" si="13"/>
        <v>0</v>
      </c>
      <c r="AM32" s="50"/>
      <c r="AN32" s="51"/>
      <c r="AO32" s="4">
        <f t="shared" si="14"/>
        <v>100</v>
      </c>
      <c r="AP32" s="4">
        <f t="shared" si="31"/>
        <v>66</v>
      </c>
      <c r="AQ32" s="4">
        <f t="shared" si="15"/>
        <v>0</v>
      </c>
      <c r="AR32" s="50"/>
      <c r="AS32" s="51"/>
      <c r="AT32" s="4">
        <f t="shared" si="16"/>
        <v>117</v>
      </c>
      <c r="AU32" s="4">
        <f t="shared" si="32"/>
        <v>81</v>
      </c>
      <c r="AV32" s="4">
        <f t="shared" si="17"/>
        <v>0</v>
      </c>
      <c r="AW32" s="50"/>
      <c r="AX32" s="51"/>
      <c r="AY32" s="4">
        <f t="shared" si="18"/>
        <v>132</v>
      </c>
      <c r="AZ32" s="4">
        <f t="shared" si="33"/>
        <v>88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20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37</v>
      </c>
      <c r="L33" s="4">
        <f t="shared" si="25"/>
        <v>18</v>
      </c>
      <c r="M33" s="4">
        <f t="shared" si="3"/>
        <v>0</v>
      </c>
      <c r="N33" s="50"/>
      <c r="O33" s="51"/>
      <c r="P33" s="4">
        <f t="shared" si="4"/>
        <v>50</v>
      </c>
      <c r="Q33" s="4">
        <f t="shared" si="26"/>
        <v>27</v>
      </c>
      <c r="R33" s="4">
        <f t="shared" si="5"/>
        <v>0</v>
      </c>
      <c r="S33" s="50"/>
      <c r="T33" s="51"/>
      <c r="U33" s="4">
        <f t="shared" si="6"/>
        <v>63</v>
      </c>
      <c r="V33" s="4">
        <f t="shared" si="27"/>
        <v>32</v>
      </c>
      <c r="W33" s="4">
        <f t="shared" si="7"/>
        <v>0</v>
      </c>
      <c r="X33" s="50"/>
      <c r="Y33" s="51"/>
      <c r="Z33" s="4">
        <f t="shared" si="8"/>
        <v>76</v>
      </c>
      <c r="AA33" s="4">
        <f t="shared" si="28"/>
        <v>47</v>
      </c>
      <c r="AB33" s="4">
        <f t="shared" si="9"/>
        <v>0</v>
      </c>
      <c r="AC33" s="50"/>
      <c r="AD33" s="51"/>
      <c r="AE33" s="4">
        <f t="shared" si="10"/>
        <v>64</v>
      </c>
      <c r="AF33" s="4">
        <f t="shared" si="29"/>
        <v>51</v>
      </c>
      <c r="AG33" s="4">
        <f t="shared" si="11"/>
        <v>0</v>
      </c>
      <c r="AH33" s="50"/>
      <c r="AI33" s="51"/>
      <c r="AJ33" s="4">
        <f t="shared" si="12"/>
        <v>80</v>
      </c>
      <c r="AK33" s="4">
        <f t="shared" si="30"/>
        <v>60</v>
      </c>
      <c r="AL33" s="4">
        <f t="shared" si="13"/>
        <v>0</v>
      </c>
      <c r="AM33" s="50"/>
      <c r="AN33" s="51"/>
      <c r="AO33" s="4">
        <f t="shared" si="14"/>
        <v>100</v>
      </c>
      <c r="AP33" s="4">
        <f t="shared" si="31"/>
        <v>66</v>
      </c>
      <c r="AQ33" s="4">
        <f t="shared" si="15"/>
        <v>0</v>
      </c>
      <c r="AR33" s="50"/>
      <c r="AS33" s="51"/>
      <c r="AT33" s="4">
        <f t="shared" si="16"/>
        <v>117</v>
      </c>
      <c r="AU33" s="4">
        <f t="shared" si="32"/>
        <v>81</v>
      </c>
      <c r="AV33" s="4">
        <f t="shared" si="17"/>
        <v>0</v>
      </c>
      <c r="AW33" s="50"/>
      <c r="AX33" s="51"/>
      <c r="AY33" s="4">
        <f t="shared" si="18"/>
        <v>132</v>
      </c>
      <c r="AZ33" s="4">
        <f t="shared" si="33"/>
        <v>88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20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37</v>
      </c>
      <c r="L34" s="4">
        <f t="shared" si="25"/>
        <v>18</v>
      </c>
      <c r="M34" s="4">
        <f t="shared" si="3"/>
        <v>0</v>
      </c>
      <c r="N34" s="50"/>
      <c r="O34" s="51"/>
      <c r="P34" s="4">
        <f t="shared" si="4"/>
        <v>50</v>
      </c>
      <c r="Q34" s="4">
        <f t="shared" si="26"/>
        <v>27</v>
      </c>
      <c r="R34" s="4">
        <f t="shared" si="5"/>
        <v>0</v>
      </c>
      <c r="S34" s="50"/>
      <c r="T34" s="51"/>
      <c r="U34" s="4">
        <f t="shared" si="6"/>
        <v>63</v>
      </c>
      <c r="V34" s="4">
        <f t="shared" si="27"/>
        <v>32</v>
      </c>
      <c r="W34" s="4">
        <f t="shared" si="7"/>
        <v>0</v>
      </c>
      <c r="X34" s="50"/>
      <c r="Y34" s="51"/>
      <c r="Z34" s="4">
        <f t="shared" si="8"/>
        <v>76</v>
      </c>
      <c r="AA34" s="4">
        <f t="shared" si="28"/>
        <v>47</v>
      </c>
      <c r="AB34" s="4">
        <f t="shared" si="9"/>
        <v>0</v>
      </c>
      <c r="AC34" s="50"/>
      <c r="AD34" s="51"/>
      <c r="AE34" s="4">
        <f t="shared" si="10"/>
        <v>64</v>
      </c>
      <c r="AF34" s="4">
        <f t="shared" si="29"/>
        <v>51</v>
      </c>
      <c r="AG34" s="4">
        <f t="shared" si="11"/>
        <v>0</v>
      </c>
      <c r="AH34" s="50"/>
      <c r="AI34" s="51"/>
      <c r="AJ34" s="4">
        <f t="shared" si="12"/>
        <v>80</v>
      </c>
      <c r="AK34" s="4">
        <f t="shared" si="30"/>
        <v>60</v>
      </c>
      <c r="AL34" s="4">
        <f t="shared" si="13"/>
        <v>0</v>
      </c>
      <c r="AM34" s="50"/>
      <c r="AN34" s="51"/>
      <c r="AO34" s="4">
        <f t="shared" si="14"/>
        <v>100</v>
      </c>
      <c r="AP34" s="4">
        <f t="shared" si="31"/>
        <v>66</v>
      </c>
      <c r="AQ34" s="4">
        <f t="shared" si="15"/>
        <v>0</v>
      </c>
      <c r="AR34" s="50"/>
      <c r="AS34" s="51"/>
      <c r="AT34" s="4">
        <f t="shared" si="16"/>
        <v>117</v>
      </c>
      <c r="AU34" s="4">
        <f t="shared" si="32"/>
        <v>81</v>
      </c>
      <c r="AV34" s="4">
        <f t="shared" si="17"/>
        <v>0</v>
      </c>
      <c r="AW34" s="50"/>
      <c r="AX34" s="51"/>
      <c r="AY34" s="4">
        <f t="shared" si="18"/>
        <v>132</v>
      </c>
      <c r="AZ34" s="4">
        <f t="shared" si="33"/>
        <v>88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20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37</v>
      </c>
      <c r="L35" s="4">
        <f t="shared" si="25"/>
        <v>18</v>
      </c>
      <c r="M35" s="4">
        <f t="shared" si="3"/>
        <v>0</v>
      </c>
      <c r="N35" s="50"/>
      <c r="O35" s="51"/>
      <c r="P35" s="4">
        <f t="shared" si="4"/>
        <v>50</v>
      </c>
      <c r="Q35" s="4">
        <f t="shared" si="26"/>
        <v>27</v>
      </c>
      <c r="R35" s="4">
        <f t="shared" si="5"/>
        <v>0</v>
      </c>
      <c r="S35" s="50"/>
      <c r="T35" s="51"/>
      <c r="U35" s="4">
        <f t="shared" si="6"/>
        <v>63</v>
      </c>
      <c r="V35" s="4">
        <f t="shared" si="27"/>
        <v>32</v>
      </c>
      <c r="W35" s="4">
        <f t="shared" si="7"/>
        <v>0</v>
      </c>
      <c r="X35" s="50"/>
      <c r="Y35" s="51"/>
      <c r="Z35" s="4">
        <f t="shared" si="8"/>
        <v>76</v>
      </c>
      <c r="AA35" s="4">
        <f t="shared" si="28"/>
        <v>47</v>
      </c>
      <c r="AB35" s="4">
        <f t="shared" si="9"/>
        <v>0</v>
      </c>
      <c r="AC35" s="50"/>
      <c r="AD35" s="51"/>
      <c r="AE35" s="4">
        <f t="shared" si="10"/>
        <v>64</v>
      </c>
      <c r="AF35" s="4">
        <f t="shared" si="29"/>
        <v>51</v>
      </c>
      <c r="AG35" s="4">
        <f t="shared" si="11"/>
        <v>0</v>
      </c>
      <c r="AH35" s="50"/>
      <c r="AI35" s="51"/>
      <c r="AJ35" s="4">
        <f t="shared" si="12"/>
        <v>80</v>
      </c>
      <c r="AK35" s="4">
        <f t="shared" si="30"/>
        <v>60</v>
      </c>
      <c r="AL35" s="4">
        <f t="shared" si="13"/>
        <v>0</v>
      </c>
      <c r="AM35" s="50"/>
      <c r="AN35" s="51"/>
      <c r="AO35" s="4">
        <f t="shared" si="14"/>
        <v>100</v>
      </c>
      <c r="AP35" s="4">
        <f t="shared" si="31"/>
        <v>66</v>
      </c>
      <c r="AQ35" s="4">
        <f t="shared" si="15"/>
        <v>0</v>
      </c>
      <c r="AR35" s="50"/>
      <c r="AS35" s="51"/>
      <c r="AT35" s="4">
        <f t="shared" si="16"/>
        <v>117</v>
      </c>
      <c r="AU35" s="4">
        <f t="shared" si="32"/>
        <v>81</v>
      </c>
      <c r="AV35" s="4">
        <f t="shared" si="17"/>
        <v>0</v>
      </c>
      <c r="AW35" s="50"/>
      <c r="AX35" s="51"/>
      <c r="AY35" s="4">
        <f t="shared" si="18"/>
        <v>132</v>
      </c>
      <c r="AZ35" s="4">
        <f t="shared" si="33"/>
        <v>88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20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37</v>
      </c>
      <c r="L36" s="4">
        <f t="shared" si="25"/>
        <v>18</v>
      </c>
      <c r="M36" s="4">
        <f t="shared" si="3"/>
        <v>0</v>
      </c>
      <c r="N36" s="50"/>
      <c r="O36" s="51"/>
      <c r="P36" s="4">
        <f t="shared" si="4"/>
        <v>50</v>
      </c>
      <c r="Q36" s="4">
        <f t="shared" si="26"/>
        <v>27</v>
      </c>
      <c r="R36" s="4">
        <f t="shared" si="5"/>
        <v>0</v>
      </c>
      <c r="S36" s="50"/>
      <c r="T36" s="51"/>
      <c r="U36" s="4">
        <f t="shared" si="6"/>
        <v>63</v>
      </c>
      <c r="V36" s="4">
        <f t="shared" si="27"/>
        <v>32</v>
      </c>
      <c r="W36" s="4">
        <f t="shared" si="7"/>
        <v>0</v>
      </c>
      <c r="X36" s="50"/>
      <c r="Y36" s="51"/>
      <c r="Z36" s="4">
        <f t="shared" si="8"/>
        <v>76</v>
      </c>
      <c r="AA36" s="4">
        <f t="shared" si="28"/>
        <v>47</v>
      </c>
      <c r="AB36" s="4">
        <f t="shared" si="9"/>
        <v>0</v>
      </c>
      <c r="AC36" s="50"/>
      <c r="AD36" s="51"/>
      <c r="AE36" s="4">
        <f t="shared" si="10"/>
        <v>64</v>
      </c>
      <c r="AF36" s="4">
        <f t="shared" si="29"/>
        <v>51</v>
      </c>
      <c r="AG36" s="4">
        <f t="shared" si="11"/>
        <v>0</v>
      </c>
      <c r="AH36" s="50"/>
      <c r="AI36" s="51"/>
      <c r="AJ36" s="4">
        <f t="shared" si="12"/>
        <v>80</v>
      </c>
      <c r="AK36" s="4">
        <f t="shared" si="30"/>
        <v>60</v>
      </c>
      <c r="AL36" s="4">
        <f t="shared" si="13"/>
        <v>0</v>
      </c>
      <c r="AM36" s="50"/>
      <c r="AN36" s="51"/>
      <c r="AO36" s="4">
        <f t="shared" si="14"/>
        <v>100</v>
      </c>
      <c r="AP36" s="4">
        <f t="shared" si="31"/>
        <v>66</v>
      </c>
      <c r="AQ36" s="4">
        <f t="shared" si="15"/>
        <v>0</v>
      </c>
      <c r="AR36" s="50"/>
      <c r="AS36" s="51"/>
      <c r="AT36" s="4">
        <f t="shared" si="16"/>
        <v>117</v>
      </c>
      <c r="AU36" s="4">
        <f t="shared" si="32"/>
        <v>81</v>
      </c>
      <c r="AV36" s="4">
        <f t="shared" si="17"/>
        <v>0</v>
      </c>
      <c r="AW36" s="50"/>
      <c r="AX36" s="51"/>
      <c r="AY36" s="4">
        <f t="shared" si="18"/>
        <v>132</v>
      </c>
      <c r="AZ36" s="4">
        <f t="shared" si="33"/>
        <v>88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20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37</v>
      </c>
      <c r="L37" s="4">
        <f t="shared" si="25"/>
        <v>18</v>
      </c>
      <c r="M37" s="4">
        <f t="shared" si="3"/>
        <v>0</v>
      </c>
      <c r="N37" s="50"/>
      <c r="O37" s="51"/>
      <c r="P37" s="4">
        <f t="shared" si="4"/>
        <v>50</v>
      </c>
      <c r="Q37" s="4">
        <f t="shared" si="26"/>
        <v>27</v>
      </c>
      <c r="R37" s="4">
        <f t="shared" si="5"/>
        <v>0</v>
      </c>
      <c r="S37" s="50"/>
      <c r="T37" s="51"/>
      <c r="U37" s="4">
        <f t="shared" si="6"/>
        <v>63</v>
      </c>
      <c r="V37" s="4">
        <f t="shared" si="27"/>
        <v>32</v>
      </c>
      <c r="W37" s="4">
        <f t="shared" si="7"/>
        <v>0</v>
      </c>
      <c r="X37" s="50"/>
      <c r="Y37" s="51"/>
      <c r="Z37" s="4">
        <f t="shared" si="8"/>
        <v>76</v>
      </c>
      <c r="AA37" s="4">
        <f t="shared" si="28"/>
        <v>47</v>
      </c>
      <c r="AB37" s="4">
        <f t="shared" si="9"/>
        <v>0</v>
      </c>
      <c r="AC37" s="50"/>
      <c r="AD37" s="51"/>
      <c r="AE37" s="4">
        <f t="shared" si="10"/>
        <v>64</v>
      </c>
      <c r="AF37" s="4">
        <f t="shared" si="29"/>
        <v>51</v>
      </c>
      <c r="AG37" s="4">
        <f t="shared" si="11"/>
        <v>0</v>
      </c>
      <c r="AH37" s="50"/>
      <c r="AI37" s="51"/>
      <c r="AJ37" s="4">
        <f t="shared" si="12"/>
        <v>80</v>
      </c>
      <c r="AK37" s="4">
        <f t="shared" si="30"/>
        <v>60</v>
      </c>
      <c r="AL37" s="4">
        <f t="shared" si="13"/>
        <v>0</v>
      </c>
      <c r="AM37" s="50"/>
      <c r="AN37" s="51"/>
      <c r="AO37" s="4">
        <f t="shared" si="14"/>
        <v>100</v>
      </c>
      <c r="AP37" s="4">
        <f t="shared" si="31"/>
        <v>66</v>
      </c>
      <c r="AQ37" s="4">
        <f t="shared" si="15"/>
        <v>0</v>
      </c>
      <c r="AR37" s="50"/>
      <c r="AS37" s="51"/>
      <c r="AT37" s="4">
        <f t="shared" si="16"/>
        <v>117</v>
      </c>
      <c r="AU37" s="4">
        <f t="shared" si="32"/>
        <v>81</v>
      </c>
      <c r="AV37" s="4">
        <f t="shared" si="17"/>
        <v>0</v>
      </c>
      <c r="AW37" s="50"/>
      <c r="AX37" s="51"/>
      <c r="AY37" s="4">
        <f t="shared" si="18"/>
        <v>132</v>
      </c>
      <c r="AZ37" s="4">
        <f t="shared" si="33"/>
        <v>88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20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37</v>
      </c>
      <c r="L38" s="4">
        <f t="shared" si="25"/>
        <v>18</v>
      </c>
      <c r="M38" s="4">
        <f t="shared" si="3"/>
        <v>0</v>
      </c>
      <c r="N38" s="50"/>
      <c r="O38" s="51"/>
      <c r="P38" s="4">
        <f t="shared" si="4"/>
        <v>50</v>
      </c>
      <c r="Q38" s="4">
        <f t="shared" si="26"/>
        <v>27</v>
      </c>
      <c r="R38" s="4">
        <f t="shared" si="5"/>
        <v>0</v>
      </c>
      <c r="S38" s="50"/>
      <c r="T38" s="51"/>
      <c r="U38" s="4">
        <f t="shared" si="6"/>
        <v>63</v>
      </c>
      <c r="V38" s="4">
        <f t="shared" si="27"/>
        <v>32</v>
      </c>
      <c r="W38" s="4">
        <f t="shared" si="7"/>
        <v>0</v>
      </c>
      <c r="X38" s="50"/>
      <c r="Y38" s="51"/>
      <c r="Z38" s="4">
        <f t="shared" si="8"/>
        <v>76</v>
      </c>
      <c r="AA38" s="4">
        <f t="shared" si="28"/>
        <v>47</v>
      </c>
      <c r="AB38" s="4">
        <f t="shared" si="9"/>
        <v>0</v>
      </c>
      <c r="AC38" s="50"/>
      <c r="AD38" s="51"/>
      <c r="AE38" s="4">
        <f t="shared" si="10"/>
        <v>64</v>
      </c>
      <c r="AF38" s="4">
        <f t="shared" si="29"/>
        <v>51</v>
      </c>
      <c r="AG38" s="4">
        <f t="shared" si="11"/>
        <v>0</v>
      </c>
      <c r="AH38" s="50"/>
      <c r="AI38" s="51"/>
      <c r="AJ38" s="4">
        <f t="shared" si="12"/>
        <v>80</v>
      </c>
      <c r="AK38" s="4">
        <f t="shared" si="30"/>
        <v>60</v>
      </c>
      <c r="AL38" s="4">
        <f t="shared" si="13"/>
        <v>0</v>
      </c>
      <c r="AM38" s="50"/>
      <c r="AN38" s="51"/>
      <c r="AO38" s="4">
        <f t="shared" si="14"/>
        <v>100</v>
      </c>
      <c r="AP38" s="4">
        <f t="shared" si="31"/>
        <v>66</v>
      </c>
      <c r="AQ38" s="4">
        <f t="shared" si="15"/>
        <v>0</v>
      </c>
      <c r="AR38" s="50"/>
      <c r="AS38" s="51"/>
      <c r="AT38" s="4">
        <f t="shared" si="16"/>
        <v>117</v>
      </c>
      <c r="AU38" s="4">
        <f t="shared" si="32"/>
        <v>81</v>
      </c>
      <c r="AV38" s="4">
        <f t="shared" si="17"/>
        <v>0</v>
      </c>
      <c r="AW38" s="50"/>
      <c r="AX38" s="51"/>
      <c r="AY38" s="4">
        <f t="shared" si="18"/>
        <v>132</v>
      </c>
      <c r="AZ38" s="4">
        <f t="shared" si="33"/>
        <v>88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20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37</v>
      </c>
      <c r="L39" s="4">
        <f t="shared" si="25"/>
        <v>18</v>
      </c>
      <c r="M39" s="4">
        <f t="shared" si="3"/>
        <v>0</v>
      </c>
      <c r="N39" s="50"/>
      <c r="O39" s="52"/>
      <c r="P39" s="4">
        <f t="shared" si="4"/>
        <v>50</v>
      </c>
      <c r="Q39" s="4">
        <f t="shared" si="26"/>
        <v>27</v>
      </c>
      <c r="R39" s="4">
        <f t="shared" si="5"/>
        <v>0</v>
      </c>
      <c r="S39" s="50"/>
      <c r="T39" s="52"/>
      <c r="U39" s="4">
        <f t="shared" si="6"/>
        <v>63</v>
      </c>
      <c r="V39" s="4">
        <f t="shared" si="27"/>
        <v>32</v>
      </c>
      <c r="W39" s="4">
        <f t="shared" si="7"/>
        <v>0</v>
      </c>
      <c r="X39" s="50"/>
      <c r="Y39" s="52"/>
      <c r="Z39" s="4">
        <f t="shared" si="8"/>
        <v>76</v>
      </c>
      <c r="AA39" s="4">
        <f t="shared" si="28"/>
        <v>47</v>
      </c>
      <c r="AB39" s="4">
        <f t="shared" si="9"/>
        <v>0</v>
      </c>
      <c r="AC39" s="50"/>
      <c r="AD39" s="52"/>
      <c r="AE39" s="4">
        <f t="shared" si="10"/>
        <v>64</v>
      </c>
      <c r="AF39" s="4">
        <f t="shared" si="29"/>
        <v>51</v>
      </c>
      <c r="AG39" s="4">
        <f t="shared" si="11"/>
        <v>0</v>
      </c>
      <c r="AH39" s="50"/>
      <c r="AI39" s="52"/>
      <c r="AJ39" s="4">
        <f t="shared" si="12"/>
        <v>80</v>
      </c>
      <c r="AK39" s="4">
        <f t="shared" si="30"/>
        <v>60</v>
      </c>
      <c r="AL39" s="4">
        <f t="shared" si="13"/>
        <v>0</v>
      </c>
      <c r="AM39" s="50"/>
      <c r="AN39" s="52"/>
      <c r="AO39" s="4">
        <f t="shared" si="14"/>
        <v>100</v>
      </c>
      <c r="AP39" s="4">
        <f t="shared" si="31"/>
        <v>66</v>
      </c>
      <c r="AQ39" s="4">
        <f t="shared" si="15"/>
        <v>0</v>
      </c>
      <c r="AR39" s="50"/>
      <c r="AS39" s="52"/>
      <c r="AT39" s="4">
        <f t="shared" si="16"/>
        <v>117</v>
      </c>
      <c r="AU39" s="4">
        <f t="shared" si="32"/>
        <v>81</v>
      </c>
      <c r="AV39" s="4">
        <f t="shared" si="17"/>
        <v>0</v>
      </c>
      <c r="AW39" s="50"/>
      <c r="AX39" s="52"/>
      <c r="AY39" s="4">
        <f t="shared" si="18"/>
        <v>132</v>
      </c>
      <c r="AZ39" s="4">
        <f t="shared" si="33"/>
        <v>88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20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37</v>
      </c>
      <c r="L40" s="4">
        <f t="shared" si="25"/>
        <v>18</v>
      </c>
      <c r="M40" s="4">
        <f t="shared" si="3"/>
        <v>0</v>
      </c>
      <c r="N40" s="50"/>
      <c r="O40" s="51"/>
      <c r="P40" s="4">
        <f t="shared" si="4"/>
        <v>50</v>
      </c>
      <c r="Q40" s="4">
        <f t="shared" si="26"/>
        <v>27</v>
      </c>
      <c r="R40" s="4">
        <f t="shared" si="5"/>
        <v>0</v>
      </c>
      <c r="S40" s="50"/>
      <c r="T40" s="51"/>
      <c r="U40" s="4">
        <f t="shared" si="6"/>
        <v>63</v>
      </c>
      <c r="V40" s="4">
        <f t="shared" si="27"/>
        <v>32</v>
      </c>
      <c r="W40" s="4">
        <f t="shared" si="7"/>
        <v>0</v>
      </c>
      <c r="X40" s="50"/>
      <c r="Y40" s="51"/>
      <c r="Z40" s="4">
        <f t="shared" si="8"/>
        <v>76</v>
      </c>
      <c r="AA40" s="4">
        <f t="shared" si="28"/>
        <v>47</v>
      </c>
      <c r="AB40" s="4">
        <f t="shared" si="9"/>
        <v>0</v>
      </c>
      <c r="AC40" s="50"/>
      <c r="AD40" s="51"/>
      <c r="AE40" s="4">
        <f t="shared" si="10"/>
        <v>64</v>
      </c>
      <c r="AF40" s="4">
        <f t="shared" si="29"/>
        <v>51</v>
      </c>
      <c r="AG40" s="4">
        <f t="shared" si="11"/>
        <v>0</v>
      </c>
      <c r="AH40" s="50"/>
      <c r="AI40" s="51"/>
      <c r="AJ40" s="4">
        <f t="shared" si="12"/>
        <v>80</v>
      </c>
      <c r="AK40" s="4">
        <f t="shared" si="30"/>
        <v>60</v>
      </c>
      <c r="AL40" s="4">
        <f t="shared" si="13"/>
        <v>0</v>
      </c>
      <c r="AM40" s="50"/>
      <c r="AN40" s="51"/>
      <c r="AO40" s="4">
        <f t="shared" si="14"/>
        <v>100</v>
      </c>
      <c r="AP40" s="4">
        <f t="shared" si="31"/>
        <v>66</v>
      </c>
      <c r="AQ40" s="4">
        <f t="shared" si="15"/>
        <v>0</v>
      </c>
      <c r="AR40" s="50"/>
      <c r="AS40" s="51"/>
      <c r="AT40" s="4">
        <f t="shared" si="16"/>
        <v>117</v>
      </c>
      <c r="AU40" s="4">
        <f t="shared" si="32"/>
        <v>81</v>
      </c>
      <c r="AV40" s="4">
        <f t="shared" si="17"/>
        <v>0</v>
      </c>
      <c r="AW40" s="50"/>
      <c r="AX40" s="51"/>
      <c r="AY40" s="4">
        <f t="shared" si="18"/>
        <v>132</v>
      </c>
      <c r="AZ40" s="4">
        <f t="shared" si="33"/>
        <v>88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20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37</v>
      </c>
      <c r="L41" s="4">
        <f t="shared" si="25"/>
        <v>18</v>
      </c>
      <c r="M41" s="4">
        <f t="shared" si="3"/>
        <v>0</v>
      </c>
      <c r="N41" s="50"/>
      <c r="O41" s="52"/>
      <c r="P41" s="4">
        <f t="shared" si="4"/>
        <v>50</v>
      </c>
      <c r="Q41" s="4">
        <f t="shared" si="26"/>
        <v>27</v>
      </c>
      <c r="R41" s="4">
        <f t="shared" si="5"/>
        <v>0</v>
      </c>
      <c r="S41" s="50"/>
      <c r="T41" s="52"/>
      <c r="U41" s="4">
        <f t="shared" si="6"/>
        <v>63</v>
      </c>
      <c r="V41" s="4">
        <f t="shared" si="27"/>
        <v>32</v>
      </c>
      <c r="W41" s="4">
        <f t="shared" si="7"/>
        <v>0</v>
      </c>
      <c r="X41" s="50"/>
      <c r="Y41" s="52"/>
      <c r="Z41" s="4">
        <f t="shared" si="8"/>
        <v>76</v>
      </c>
      <c r="AA41" s="4">
        <f t="shared" si="28"/>
        <v>47</v>
      </c>
      <c r="AB41" s="4">
        <f t="shared" si="9"/>
        <v>0</v>
      </c>
      <c r="AC41" s="50"/>
      <c r="AD41" s="52"/>
      <c r="AE41" s="4">
        <f t="shared" si="10"/>
        <v>64</v>
      </c>
      <c r="AF41" s="4">
        <f t="shared" si="29"/>
        <v>51</v>
      </c>
      <c r="AG41" s="4">
        <f t="shared" si="11"/>
        <v>0</v>
      </c>
      <c r="AH41" s="50"/>
      <c r="AI41" s="52"/>
      <c r="AJ41" s="4">
        <f t="shared" si="12"/>
        <v>80</v>
      </c>
      <c r="AK41" s="4">
        <f t="shared" si="30"/>
        <v>60</v>
      </c>
      <c r="AL41" s="4">
        <f t="shared" si="13"/>
        <v>0</v>
      </c>
      <c r="AM41" s="50"/>
      <c r="AN41" s="52"/>
      <c r="AO41" s="4">
        <f t="shared" si="14"/>
        <v>100</v>
      </c>
      <c r="AP41" s="4">
        <f t="shared" si="31"/>
        <v>66</v>
      </c>
      <c r="AQ41" s="4">
        <f t="shared" si="15"/>
        <v>0</v>
      </c>
      <c r="AR41" s="50"/>
      <c r="AS41" s="52"/>
      <c r="AT41" s="4">
        <f t="shared" si="16"/>
        <v>117</v>
      </c>
      <c r="AU41" s="4">
        <f t="shared" si="32"/>
        <v>81</v>
      </c>
      <c r="AV41" s="4">
        <f t="shared" si="17"/>
        <v>0</v>
      </c>
      <c r="AW41" s="50"/>
      <c r="AX41" s="52"/>
      <c r="AY41" s="4">
        <f t="shared" si="18"/>
        <v>132</v>
      </c>
      <c r="AZ41" s="4">
        <f t="shared" si="33"/>
        <v>88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20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37</v>
      </c>
      <c r="L42" s="4">
        <f t="shared" si="25"/>
        <v>18</v>
      </c>
      <c r="M42" s="4">
        <f t="shared" si="3"/>
        <v>0</v>
      </c>
      <c r="N42" s="50"/>
      <c r="O42" s="52"/>
      <c r="P42" s="4">
        <f t="shared" si="4"/>
        <v>50</v>
      </c>
      <c r="Q42" s="4">
        <f t="shared" si="26"/>
        <v>27</v>
      </c>
      <c r="R42" s="4">
        <f t="shared" si="5"/>
        <v>0</v>
      </c>
      <c r="S42" s="50"/>
      <c r="T42" s="52"/>
      <c r="U42" s="4">
        <f t="shared" si="6"/>
        <v>63</v>
      </c>
      <c r="V42" s="4">
        <f t="shared" si="27"/>
        <v>32</v>
      </c>
      <c r="W42" s="4">
        <f t="shared" si="7"/>
        <v>0</v>
      </c>
      <c r="X42" s="50"/>
      <c r="Y42" s="52"/>
      <c r="Z42" s="4">
        <f t="shared" si="8"/>
        <v>76</v>
      </c>
      <c r="AA42" s="4">
        <f t="shared" si="28"/>
        <v>47</v>
      </c>
      <c r="AB42" s="4">
        <f t="shared" si="9"/>
        <v>0</v>
      </c>
      <c r="AC42" s="50"/>
      <c r="AD42" s="52"/>
      <c r="AE42" s="4">
        <f t="shared" si="10"/>
        <v>64</v>
      </c>
      <c r="AF42" s="4">
        <f t="shared" si="29"/>
        <v>51</v>
      </c>
      <c r="AG42" s="4">
        <f t="shared" si="11"/>
        <v>0</v>
      </c>
      <c r="AH42" s="50"/>
      <c r="AI42" s="52"/>
      <c r="AJ42" s="4">
        <f t="shared" si="12"/>
        <v>80</v>
      </c>
      <c r="AK42" s="4">
        <f t="shared" si="30"/>
        <v>60</v>
      </c>
      <c r="AL42" s="4">
        <f t="shared" si="13"/>
        <v>0</v>
      </c>
      <c r="AM42" s="50"/>
      <c r="AN42" s="52"/>
      <c r="AO42" s="4">
        <f t="shared" si="14"/>
        <v>100</v>
      </c>
      <c r="AP42" s="4">
        <f t="shared" si="31"/>
        <v>66</v>
      </c>
      <c r="AQ42" s="4">
        <f t="shared" si="15"/>
        <v>0</v>
      </c>
      <c r="AR42" s="50"/>
      <c r="AS42" s="52"/>
      <c r="AT42" s="4">
        <f t="shared" si="16"/>
        <v>117</v>
      </c>
      <c r="AU42" s="4">
        <f t="shared" si="32"/>
        <v>81</v>
      </c>
      <c r="AV42" s="4">
        <f t="shared" si="17"/>
        <v>0</v>
      </c>
      <c r="AW42" s="50"/>
      <c r="AX42" s="52"/>
      <c r="AY42" s="4">
        <f t="shared" si="18"/>
        <v>132</v>
      </c>
      <c r="AZ42" s="4">
        <f t="shared" si="33"/>
        <v>88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20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37</v>
      </c>
      <c r="L43" s="4">
        <f t="shared" si="25"/>
        <v>18</v>
      </c>
      <c r="M43" s="4">
        <f t="shared" si="3"/>
        <v>0</v>
      </c>
      <c r="N43" s="50"/>
      <c r="O43" s="52"/>
      <c r="P43" s="4">
        <f t="shared" si="4"/>
        <v>50</v>
      </c>
      <c r="Q43" s="4">
        <f t="shared" si="26"/>
        <v>27</v>
      </c>
      <c r="R43" s="4">
        <f t="shared" si="5"/>
        <v>0</v>
      </c>
      <c r="S43" s="50"/>
      <c r="T43" s="52"/>
      <c r="U43" s="4">
        <f t="shared" si="6"/>
        <v>63</v>
      </c>
      <c r="V43" s="4">
        <f t="shared" si="27"/>
        <v>32</v>
      </c>
      <c r="W43" s="4">
        <f t="shared" si="7"/>
        <v>0</v>
      </c>
      <c r="X43" s="50"/>
      <c r="Y43" s="52"/>
      <c r="Z43" s="4">
        <f t="shared" si="8"/>
        <v>76</v>
      </c>
      <c r="AA43" s="4">
        <f t="shared" si="28"/>
        <v>47</v>
      </c>
      <c r="AB43" s="4">
        <f t="shared" si="9"/>
        <v>0</v>
      </c>
      <c r="AC43" s="50"/>
      <c r="AD43" s="52"/>
      <c r="AE43" s="4">
        <f t="shared" si="10"/>
        <v>64</v>
      </c>
      <c r="AF43" s="4">
        <f t="shared" si="29"/>
        <v>51</v>
      </c>
      <c r="AG43" s="4">
        <f t="shared" si="11"/>
        <v>0</v>
      </c>
      <c r="AH43" s="50"/>
      <c r="AI43" s="52"/>
      <c r="AJ43" s="4">
        <f t="shared" si="12"/>
        <v>80</v>
      </c>
      <c r="AK43" s="4">
        <f t="shared" si="30"/>
        <v>60</v>
      </c>
      <c r="AL43" s="4">
        <f t="shared" si="13"/>
        <v>0</v>
      </c>
      <c r="AM43" s="50"/>
      <c r="AN43" s="52"/>
      <c r="AO43" s="4">
        <f t="shared" si="14"/>
        <v>100</v>
      </c>
      <c r="AP43" s="4">
        <f t="shared" si="31"/>
        <v>66</v>
      </c>
      <c r="AQ43" s="4">
        <f t="shared" si="15"/>
        <v>0</v>
      </c>
      <c r="AR43" s="50"/>
      <c r="AS43" s="52"/>
      <c r="AT43" s="4">
        <f t="shared" si="16"/>
        <v>117</v>
      </c>
      <c r="AU43" s="4">
        <f t="shared" si="32"/>
        <v>81</v>
      </c>
      <c r="AV43" s="4">
        <f t="shared" si="17"/>
        <v>0</v>
      </c>
      <c r="AW43" s="50"/>
      <c r="AX43" s="52"/>
      <c r="AY43" s="4">
        <f t="shared" si="18"/>
        <v>132</v>
      </c>
      <c r="AZ43" s="4">
        <f t="shared" si="33"/>
        <v>88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20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37</v>
      </c>
      <c r="L44" s="4">
        <f t="shared" si="25"/>
        <v>18</v>
      </c>
      <c r="M44" s="4">
        <f t="shared" si="3"/>
        <v>0</v>
      </c>
      <c r="N44" s="50"/>
      <c r="O44" s="52"/>
      <c r="P44" s="4">
        <f t="shared" si="4"/>
        <v>50</v>
      </c>
      <c r="Q44" s="4">
        <f t="shared" si="26"/>
        <v>27</v>
      </c>
      <c r="R44" s="4">
        <f t="shared" si="5"/>
        <v>0</v>
      </c>
      <c r="S44" s="50"/>
      <c r="T44" s="52"/>
      <c r="U44" s="4">
        <f t="shared" si="6"/>
        <v>63</v>
      </c>
      <c r="V44" s="4">
        <f t="shared" si="27"/>
        <v>32</v>
      </c>
      <c r="W44" s="4">
        <f t="shared" si="7"/>
        <v>0</v>
      </c>
      <c r="X44" s="50"/>
      <c r="Y44" s="52"/>
      <c r="Z44" s="4">
        <f t="shared" si="8"/>
        <v>76</v>
      </c>
      <c r="AA44" s="4">
        <f t="shared" si="28"/>
        <v>47</v>
      </c>
      <c r="AB44" s="4">
        <f t="shared" si="9"/>
        <v>0</v>
      </c>
      <c r="AC44" s="50"/>
      <c r="AD44" s="52"/>
      <c r="AE44" s="4">
        <f t="shared" si="10"/>
        <v>64</v>
      </c>
      <c r="AF44" s="4">
        <f t="shared" si="29"/>
        <v>51</v>
      </c>
      <c r="AG44" s="4">
        <f t="shared" si="11"/>
        <v>0</v>
      </c>
      <c r="AH44" s="50"/>
      <c r="AI44" s="52"/>
      <c r="AJ44" s="4">
        <f t="shared" si="12"/>
        <v>80</v>
      </c>
      <c r="AK44" s="4">
        <f t="shared" si="30"/>
        <v>60</v>
      </c>
      <c r="AL44" s="4">
        <f t="shared" si="13"/>
        <v>0</v>
      </c>
      <c r="AM44" s="50"/>
      <c r="AN44" s="52"/>
      <c r="AO44" s="4">
        <f t="shared" si="14"/>
        <v>100</v>
      </c>
      <c r="AP44" s="4">
        <f t="shared" si="31"/>
        <v>66</v>
      </c>
      <c r="AQ44" s="4">
        <f t="shared" si="15"/>
        <v>0</v>
      </c>
      <c r="AR44" s="50"/>
      <c r="AS44" s="52"/>
      <c r="AT44" s="4">
        <f t="shared" si="16"/>
        <v>117</v>
      </c>
      <c r="AU44" s="4">
        <f t="shared" si="32"/>
        <v>81</v>
      </c>
      <c r="AV44" s="4">
        <f t="shared" si="17"/>
        <v>0</v>
      </c>
      <c r="AW44" s="50"/>
      <c r="AX44" s="52"/>
      <c r="AY44" s="4">
        <f t="shared" si="18"/>
        <v>132</v>
      </c>
      <c r="AZ44" s="4">
        <f t="shared" si="33"/>
        <v>88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20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37</v>
      </c>
      <c r="L45" s="4">
        <f t="shared" si="25"/>
        <v>18</v>
      </c>
      <c r="M45" s="4">
        <f t="shared" si="3"/>
        <v>0</v>
      </c>
      <c r="N45" s="50"/>
      <c r="O45" s="51"/>
      <c r="P45" s="4">
        <f t="shared" si="4"/>
        <v>50</v>
      </c>
      <c r="Q45" s="4">
        <f t="shared" si="26"/>
        <v>27</v>
      </c>
      <c r="R45" s="4">
        <f t="shared" si="5"/>
        <v>0</v>
      </c>
      <c r="S45" s="50"/>
      <c r="T45" s="51"/>
      <c r="U45" s="4">
        <f t="shared" si="6"/>
        <v>63</v>
      </c>
      <c r="V45" s="4">
        <f t="shared" si="27"/>
        <v>32</v>
      </c>
      <c r="W45" s="4">
        <f t="shared" si="7"/>
        <v>0</v>
      </c>
      <c r="X45" s="50"/>
      <c r="Y45" s="51"/>
      <c r="Z45" s="4">
        <f t="shared" si="8"/>
        <v>76</v>
      </c>
      <c r="AA45" s="4">
        <f t="shared" si="28"/>
        <v>47</v>
      </c>
      <c r="AB45" s="4">
        <f t="shared" si="9"/>
        <v>0</v>
      </c>
      <c r="AC45" s="50"/>
      <c r="AD45" s="51"/>
      <c r="AE45" s="4">
        <f t="shared" si="10"/>
        <v>64</v>
      </c>
      <c r="AF45" s="4">
        <f t="shared" si="29"/>
        <v>51</v>
      </c>
      <c r="AG45" s="4">
        <f t="shared" si="11"/>
        <v>0</v>
      </c>
      <c r="AH45" s="50"/>
      <c r="AI45" s="51"/>
      <c r="AJ45" s="4">
        <f t="shared" si="12"/>
        <v>80</v>
      </c>
      <c r="AK45" s="4">
        <f t="shared" si="30"/>
        <v>60</v>
      </c>
      <c r="AL45" s="4">
        <f t="shared" si="13"/>
        <v>0</v>
      </c>
      <c r="AM45" s="50"/>
      <c r="AN45" s="51"/>
      <c r="AO45" s="4">
        <f t="shared" si="14"/>
        <v>100</v>
      </c>
      <c r="AP45" s="4">
        <f t="shared" si="31"/>
        <v>66</v>
      </c>
      <c r="AQ45" s="4">
        <f t="shared" si="15"/>
        <v>0</v>
      </c>
      <c r="AR45" s="50"/>
      <c r="AS45" s="51"/>
      <c r="AT45" s="4">
        <f t="shared" si="16"/>
        <v>117</v>
      </c>
      <c r="AU45" s="4">
        <f t="shared" si="32"/>
        <v>81</v>
      </c>
      <c r="AV45" s="4">
        <f t="shared" si="17"/>
        <v>0</v>
      </c>
      <c r="AW45" s="50"/>
      <c r="AX45" s="51"/>
      <c r="AY45" s="4">
        <f t="shared" si="18"/>
        <v>132</v>
      </c>
      <c r="AZ45" s="4">
        <f t="shared" si="33"/>
        <v>88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20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37</v>
      </c>
      <c r="L46" s="4">
        <f t="shared" si="25"/>
        <v>18</v>
      </c>
      <c r="M46" s="4">
        <f t="shared" si="3"/>
        <v>0</v>
      </c>
      <c r="N46" s="50"/>
      <c r="O46" s="51"/>
      <c r="P46" s="4">
        <f t="shared" si="4"/>
        <v>50</v>
      </c>
      <c r="Q46" s="4">
        <f t="shared" si="26"/>
        <v>27</v>
      </c>
      <c r="R46" s="4">
        <f t="shared" si="5"/>
        <v>0</v>
      </c>
      <c r="S46" s="50"/>
      <c r="T46" s="51"/>
      <c r="U46" s="4">
        <f t="shared" si="6"/>
        <v>63</v>
      </c>
      <c r="V46" s="4">
        <f t="shared" si="27"/>
        <v>32</v>
      </c>
      <c r="W46" s="4">
        <f t="shared" si="7"/>
        <v>0</v>
      </c>
      <c r="X46" s="50"/>
      <c r="Y46" s="51"/>
      <c r="Z46" s="4">
        <f t="shared" si="8"/>
        <v>76</v>
      </c>
      <c r="AA46" s="4">
        <f t="shared" si="28"/>
        <v>47</v>
      </c>
      <c r="AB46" s="4">
        <f t="shared" si="9"/>
        <v>0</v>
      </c>
      <c r="AC46" s="50"/>
      <c r="AD46" s="51"/>
      <c r="AE46" s="4">
        <f t="shared" si="10"/>
        <v>64</v>
      </c>
      <c r="AF46" s="4">
        <f t="shared" si="29"/>
        <v>51</v>
      </c>
      <c r="AG46" s="4">
        <f t="shared" si="11"/>
        <v>0</v>
      </c>
      <c r="AH46" s="50"/>
      <c r="AI46" s="51"/>
      <c r="AJ46" s="4">
        <f t="shared" si="12"/>
        <v>80</v>
      </c>
      <c r="AK46" s="4">
        <f t="shared" si="30"/>
        <v>60</v>
      </c>
      <c r="AL46" s="4">
        <f t="shared" si="13"/>
        <v>0</v>
      </c>
      <c r="AM46" s="50"/>
      <c r="AN46" s="51"/>
      <c r="AO46" s="4">
        <f t="shared" si="14"/>
        <v>100</v>
      </c>
      <c r="AP46" s="4">
        <f t="shared" si="31"/>
        <v>66</v>
      </c>
      <c r="AQ46" s="4">
        <f t="shared" si="15"/>
        <v>0</v>
      </c>
      <c r="AR46" s="50"/>
      <c r="AS46" s="51"/>
      <c r="AT46" s="4">
        <f t="shared" si="16"/>
        <v>117</v>
      </c>
      <c r="AU46" s="4">
        <f t="shared" si="32"/>
        <v>81</v>
      </c>
      <c r="AV46" s="4">
        <f t="shared" si="17"/>
        <v>0</v>
      </c>
      <c r="AW46" s="50"/>
      <c r="AX46" s="51"/>
      <c r="AY46" s="4">
        <f t="shared" si="18"/>
        <v>132</v>
      </c>
      <c r="AZ46" s="4">
        <f t="shared" si="33"/>
        <v>88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20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37</v>
      </c>
      <c r="L47" s="4">
        <f t="shared" si="25"/>
        <v>18</v>
      </c>
      <c r="M47" s="4">
        <f t="shared" si="3"/>
        <v>0</v>
      </c>
      <c r="N47" s="50"/>
      <c r="O47" s="51"/>
      <c r="P47" s="4">
        <f t="shared" si="4"/>
        <v>50</v>
      </c>
      <c r="Q47" s="4">
        <f t="shared" si="26"/>
        <v>27</v>
      </c>
      <c r="R47" s="4">
        <f t="shared" si="5"/>
        <v>0</v>
      </c>
      <c r="S47" s="50"/>
      <c r="T47" s="51"/>
      <c r="U47" s="4">
        <f t="shared" si="6"/>
        <v>63</v>
      </c>
      <c r="V47" s="4">
        <f t="shared" si="27"/>
        <v>32</v>
      </c>
      <c r="W47" s="4">
        <f t="shared" si="7"/>
        <v>0</v>
      </c>
      <c r="X47" s="50"/>
      <c r="Y47" s="51"/>
      <c r="Z47" s="4">
        <f t="shared" si="8"/>
        <v>76</v>
      </c>
      <c r="AA47" s="4">
        <f t="shared" si="28"/>
        <v>47</v>
      </c>
      <c r="AB47" s="4">
        <f t="shared" si="9"/>
        <v>0</v>
      </c>
      <c r="AC47" s="50"/>
      <c r="AD47" s="51"/>
      <c r="AE47" s="4">
        <f t="shared" si="10"/>
        <v>64</v>
      </c>
      <c r="AF47" s="4">
        <f t="shared" si="29"/>
        <v>51</v>
      </c>
      <c r="AG47" s="4">
        <f t="shared" si="11"/>
        <v>0</v>
      </c>
      <c r="AH47" s="50"/>
      <c r="AI47" s="51"/>
      <c r="AJ47" s="4">
        <f t="shared" si="12"/>
        <v>80</v>
      </c>
      <c r="AK47" s="4">
        <f t="shared" si="30"/>
        <v>60</v>
      </c>
      <c r="AL47" s="4">
        <f t="shared" si="13"/>
        <v>0</v>
      </c>
      <c r="AM47" s="50"/>
      <c r="AN47" s="51"/>
      <c r="AO47" s="4">
        <f t="shared" si="14"/>
        <v>100</v>
      </c>
      <c r="AP47" s="4">
        <f t="shared" si="31"/>
        <v>66</v>
      </c>
      <c r="AQ47" s="4">
        <f t="shared" si="15"/>
        <v>0</v>
      </c>
      <c r="AR47" s="50"/>
      <c r="AS47" s="51"/>
      <c r="AT47" s="4">
        <f t="shared" si="16"/>
        <v>117</v>
      </c>
      <c r="AU47" s="4">
        <f t="shared" si="32"/>
        <v>81</v>
      </c>
      <c r="AV47" s="4">
        <f t="shared" si="17"/>
        <v>0</v>
      </c>
      <c r="AW47" s="50"/>
      <c r="AX47" s="51"/>
      <c r="AY47" s="4">
        <f t="shared" si="18"/>
        <v>132</v>
      </c>
      <c r="AZ47" s="4">
        <f t="shared" si="33"/>
        <v>88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20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37</v>
      </c>
      <c r="L48" s="4">
        <f t="shared" si="25"/>
        <v>18</v>
      </c>
      <c r="M48" s="4">
        <f t="shared" si="3"/>
        <v>0</v>
      </c>
      <c r="N48" s="50"/>
      <c r="O48" s="51"/>
      <c r="P48" s="4">
        <f t="shared" si="4"/>
        <v>50</v>
      </c>
      <c r="Q48" s="4">
        <f t="shared" si="26"/>
        <v>27</v>
      </c>
      <c r="R48" s="4">
        <f t="shared" si="5"/>
        <v>0</v>
      </c>
      <c r="S48" s="50"/>
      <c r="T48" s="51"/>
      <c r="U48" s="4">
        <f t="shared" si="6"/>
        <v>63</v>
      </c>
      <c r="V48" s="4">
        <f t="shared" si="27"/>
        <v>32</v>
      </c>
      <c r="W48" s="4">
        <f t="shared" si="7"/>
        <v>0</v>
      </c>
      <c r="X48" s="50"/>
      <c r="Y48" s="51"/>
      <c r="Z48" s="4">
        <f t="shared" si="8"/>
        <v>76</v>
      </c>
      <c r="AA48" s="4">
        <f t="shared" si="28"/>
        <v>47</v>
      </c>
      <c r="AB48" s="4">
        <f t="shared" si="9"/>
        <v>0</v>
      </c>
      <c r="AC48" s="50"/>
      <c r="AD48" s="51"/>
      <c r="AE48" s="4">
        <f t="shared" si="10"/>
        <v>64</v>
      </c>
      <c r="AF48" s="4">
        <f t="shared" si="29"/>
        <v>51</v>
      </c>
      <c r="AG48" s="4">
        <f t="shared" si="11"/>
        <v>0</v>
      </c>
      <c r="AH48" s="50"/>
      <c r="AI48" s="51"/>
      <c r="AJ48" s="4">
        <f t="shared" si="12"/>
        <v>80</v>
      </c>
      <c r="AK48" s="4">
        <f t="shared" si="30"/>
        <v>60</v>
      </c>
      <c r="AL48" s="4">
        <f t="shared" si="13"/>
        <v>0</v>
      </c>
      <c r="AM48" s="50"/>
      <c r="AN48" s="51"/>
      <c r="AO48" s="4">
        <f t="shared" si="14"/>
        <v>100</v>
      </c>
      <c r="AP48" s="4">
        <f t="shared" si="31"/>
        <v>66</v>
      </c>
      <c r="AQ48" s="4">
        <f t="shared" si="15"/>
        <v>0</v>
      </c>
      <c r="AR48" s="50"/>
      <c r="AS48" s="51"/>
      <c r="AT48" s="4">
        <f t="shared" si="16"/>
        <v>117</v>
      </c>
      <c r="AU48" s="4">
        <f t="shared" si="32"/>
        <v>81</v>
      </c>
      <c r="AV48" s="4">
        <f t="shared" si="17"/>
        <v>0</v>
      </c>
      <c r="AW48" s="50"/>
      <c r="AX48" s="51"/>
      <c r="AY48" s="4">
        <f t="shared" si="18"/>
        <v>132</v>
      </c>
      <c r="AZ48" s="4">
        <f t="shared" si="33"/>
        <v>88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20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37</v>
      </c>
      <c r="L49" s="55">
        <f t="shared" si="25"/>
        <v>18</v>
      </c>
      <c r="M49" s="55">
        <f t="shared" si="3"/>
        <v>0</v>
      </c>
      <c r="N49" s="53"/>
      <c r="O49" s="54"/>
      <c r="P49" s="55">
        <f t="shared" si="4"/>
        <v>50</v>
      </c>
      <c r="Q49" s="55">
        <f t="shared" si="26"/>
        <v>27</v>
      </c>
      <c r="R49" s="55">
        <f t="shared" si="5"/>
        <v>0</v>
      </c>
      <c r="S49" s="53"/>
      <c r="T49" s="54"/>
      <c r="U49" s="55">
        <f t="shared" si="6"/>
        <v>63</v>
      </c>
      <c r="V49" s="55">
        <f t="shared" si="27"/>
        <v>32</v>
      </c>
      <c r="W49" s="55">
        <f t="shared" si="7"/>
        <v>0</v>
      </c>
      <c r="X49" s="53"/>
      <c r="Y49" s="54"/>
      <c r="Z49" s="55">
        <f t="shared" si="8"/>
        <v>76</v>
      </c>
      <c r="AA49" s="55">
        <f t="shared" si="28"/>
        <v>47</v>
      </c>
      <c r="AB49" s="55">
        <f t="shared" si="9"/>
        <v>0</v>
      </c>
      <c r="AC49" s="53"/>
      <c r="AD49" s="54"/>
      <c r="AE49" s="55">
        <f t="shared" si="10"/>
        <v>64</v>
      </c>
      <c r="AF49" s="55">
        <f t="shared" si="29"/>
        <v>51</v>
      </c>
      <c r="AG49" s="55">
        <f t="shared" si="11"/>
        <v>0</v>
      </c>
      <c r="AH49" s="53"/>
      <c r="AI49" s="54"/>
      <c r="AJ49" s="55">
        <f t="shared" si="12"/>
        <v>80</v>
      </c>
      <c r="AK49" s="55">
        <f t="shared" si="30"/>
        <v>60</v>
      </c>
      <c r="AL49" s="55">
        <f t="shared" si="13"/>
        <v>0</v>
      </c>
      <c r="AM49" s="53"/>
      <c r="AN49" s="54"/>
      <c r="AO49" s="55">
        <f t="shared" si="14"/>
        <v>100</v>
      </c>
      <c r="AP49" s="55">
        <f t="shared" si="31"/>
        <v>66</v>
      </c>
      <c r="AQ49" s="55">
        <f t="shared" si="15"/>
        <v>0</v>
      </c>
      <c r="AR49" s="53"/>
      <c r="AS49" s="54"/>
      <c r="AT49" s="55">
        <f t="shared" si="16"/>
        <v>117</v>
      </c>
      <c r="AU49" s="55">
        <f t="shared" si="32"/>
        <v>81</v>
      </c>
      <c r="AV49" s="55">
        <f t="shared" si="17"/>
        <v>0</v>
      </c>
      <c r="AW49" s="53"/>
      <c r="AX49" s="54"/>
      <c r="AY49" s="55">
        <f t="shared" si="18"/>
        <v>132</v>
      </c>
      <c r="AZ49" s="55">
        <f t="shared" si="33"/>
        <v>88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G1:BH1"/>
    <mergeCell ref="BI1:BI4"/>
    <mergeCell ref="BB1:BC1"/>
    <mergeCell ref="AW2:AX2"/>
    <mergeCell ref="BB2:BC2"/>
    <mergeCell ref="AW3:AX3"/>
    <mergeCell ref="BB3:BC3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393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6FD92-5E98-4386-9B44-4AD0FF48C1A5}">
  <sheetPr codeName="Plan31"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activeCell="D2" sqref="D2"/>
      <selection pane="topRight" activeCell="D2" sqref="D2"/>
      <selection pane="bottomLeft" activeCell="D2" sqref="D2"/>
      <selection pane="bottomRight" sqref="A1:XFD1048576"/>
    </sheetView>
  </sheetViews>
  <sheetFormatPr defaultRowHeight="15.75" x14ac:dyDescent="0.25"/>
  <cols>
    <col min="1" max="1" width="7.85546875" bestFit="1" customWidth="1"/>
    <col min="2" max="2" width="13.5703125" customWidth="1"/>
    <col min="3" max="3" width="58.7109375" style="113" customWidth="1"/>
    <col min="4" max="4" width="22.85546875" style="113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27" customFormat="1" ht="42.75" customHeight="1" thickTop="1" thickBot="1" x14ac:dyDescent="0.4">
      <c r="A2" s="136" t="s">
        <v>144</v>
      </c>
      <c r="B2" s="137"/>
      <c r="C2" s="137"/>
      <c r="D2" s="135" t="s">
        <v>143</v>
      </c>
      <c r="E2" s="134">
        <v>46319.901864930558</v>
      </c>
      <c r="G2" s="133"/>
      <c r="H2" s="133"/>
    </row>
    <row r="3" spans="1:8" s="127" customFormat="1" ht="24.75" thickTop="1" thickBot="1" x14ac:dyDescent="0.4">
      <c r="A3" s="132" t="s">
        <v>142</v>
      </c>
      <c r="B3" s="131" t="s">
        <v>141</v>
      </c>
      <c r="C3" s="130" t="s">
        <v>2</v>
      </c>
      <c r="D3" s="129" t="s">
        <v>140</v>
      </c>
      <c r="E3" s="128" t="s">
        <v>139</v>
      </c>
    </row>
    <row r="4" spans="1:8" ht="22.5" thickTop="1" thickBot="1" x14ac:dyDescent="0.3">
      <c r="A4" s="126">
        <v>1</v>
      </c>
      <c r="B4" s="125"/>
      <c r="C4" s="124" t="s">
        <v>138</v>
      </c>
      <c r="D4" s="123" t="s">
        <v>111</v>
      </c>
      <c r="E4" s="122" t="s">
        <v>65</v>
      </c>
    </row>
    <row r="5" spans="1:8" ht="22.5" thickTop="1" thickBot="1" x14ac:dyDescent="0.3">
      <c r="A5" s="126">
        <v>2</v>
      </c>
      <c r="B5" s="125"/>
      <c r="C5" s="124" t="s">
        <v>137</v>
      </c>
      <c r="D5" s="123">
        <v>90.6</v>
      </c>
      <c r="E5" s="122" t="s">
        <v>136</v>
      </c>
    </row>
    <row r="6" spans="1:8" ht="22.5" thickTop="1" thickBot="1" x14ac:dyDescent="0.3">
      <c r="A6" s="126">
        <v>3</v>
      </c>
      <c r="B6" s="125"/>
      <c r="C6" s="124" t="s">
        <v>135</v>
      </c>
      <c r="D6" s="123" t="s">
        <v>111</v>
      </c>
      <c r="E6" s="122" t="s">
        <v>65</v>
      </c>
    </row>
    <row r="7" spans="1:8" ht="22.5" thickTop="1" thickBot="1" x14ac:dyDescent="0.3">
      <c r="A7" s="126">
        <v>4</v>
      </c>
      <c r="B7" s="125"/>
      <c r="C7" s="124" t="s">
        <v>134</v>
      </c>
      <c r="D7" s="123" t="s">
        <v>111</v>
      </c>
      <c r="E7" s="122" t="s">
        <v>65</v>
      </c>
    </row>
    <row r="8" spans="1:8" ht="22.5" thickTop="1" thickBot="1" x14ac:dyDescent="0.3">
      <c r="A8" s="126">
        <v>5</v>
      </c>
      <c r="B8" s="125"/>
      <c r="C8" s="124" t="s">
        <v>133</v>
      </c>
      <c r="D8" s="123">
        <v>88</v>
      </c>
      <c r="E8" s="122" t="s">
        <v>121</v>
      </c>
    </row>
    <row r="9" spans="1:8" ht="22.5" thickTop="1" thickBot="1" x14ac:dyDescent="0.3">
      <c r="A9" s="126">
        <v>6</v>
      </c>
      <c r="B9" s="125"/>
      <c r="C9" s="124" t="s">
        <v>132</v>
      </c>
      <c r="D9" s="123">
        <v>96.5</v>
      </c>
      <c r="E9" s="122" t="s">
        <v>131</v>
      </c>
    </row>
    <row r="10" spans="1:8" ht="22.5" thickTop="1" thickBot="1" x14ac:dyDescent="0.3">
      <c r="A10" s="126">
        <v>7</v>
      </c>
      <c r="B10" s="125"/>
      <c r="C10" s="124" t="s">
        <v>130</v>
      </c>
      <c r="D10" s="123">
        <v>76</v>
      </c>
      <c r="E10" s="122" t="s">
        <v>129</v>
      </c>
    </row>
    <row r="11" spans="1:8" ht="22.5" thickTop="1" thickBot="1" x14ac:dyDescent="0.3">
      <c r="A11" s="126">
        <v>8</v>
      </c>
      <c r="B11" s="125"/>
      <c r="C11" s="124" t="s">
        <v>128</v>
      </c>
      <c r="D11" s="123" t="s">
        <v>111</v>
      </c>
      <c r="E11" s="122" t="s">
        <v>65</v>
      </c>
    </row>
    <row r="12" spans="1:8" ht="22.5" thickTop="1" thickBot="1" x14ac:dyDescent="0.3">
      <c r="A12" s="126">
        <v>9</v>
      </c>
      <c r="B12" s="125"/>
      <c r="C12" s="124" t="s">
        <v>127</v>
      </c>
      <c r="D12" s="123" t="s">
        <v>111</v>
      </c>
      <c r="E12" s="122" t="s">
        <v>65</v>
      </c>
    </row>
    <row r="13" spans="1:8" ht="22.5" thickTop="1" thickBot="1" x14ac:dyDescent="0.3">
      <c r="A13" s="126">
        <v>10</v>
      </c>
      <c r="B13" s="125"/>
      <c r="C13" s="124" t="s">
        <v>126</v>
      </c>
      <c r="D13" s="123" t="s">
        <v>111</v>
      </c>
      <c r="E13" s="122" t="s">
        <v>65</v>
      </c>
    </row>
    <row r="14" spans="1:8" ht="22.5" thickTop="1" thickBot="1" x14ac:dyDescent="0.3">
      <c r="A14" s="126">
        <v>11</v>
      </c>
      <c r="B14" s="125"/>
      <c r="C14" s="124" t="s">
        <v>125</v>
      </c>
      <c r="D14" s="123">
        <v>94</v>
      </c>
      <c r="E14" s="122" t="s">
        <v>124</v>
      </c>
    </row>
    <row r="15" spans="1:8" ht="22.5" thickTop="1" thickBot="1" x14ac:dyDescent="0.3">
      <c r="A15" s="126">
        <v>12</v>
      </c>
      <c r="B15" s="125"/>
      <c r="C15" s="124" t="s">
        <v>123</v>
      </c>
      <c r="D15" s="123" t="s">
        <v>111</v>
      </c>
      <c r="E15" s="122" t="s">
        <v>65</v>
      </c>
    </row>
    <row r="16" spans="1:8" ht="22.5" thickTop="1" thickBot="1" x14ac:dyDescent="0.3">
      <c r="A16" s="126">
        <v>13</v>
      </c>
      <c r="B16" s="125"/>
      <c r="C16" s="124" t="s">
        <v>122</v>
      </c>
      <c r="D16" s="123">
        <v>89</v>
      </c>
      <c r="E16" s="122" t="s">
        <v>121</v>
      </c>
    </row>
    <row r="17" spans="1:7" ht="22.5" thickTop="1" thickBot="1" x14ac:dyDescent="0.3">
      <c r="A17" s="126">
        <v>14</v>
      </c>
      <c r="B17" s="125"/>
      <c r="C17" s="124" t="s">
        <v>120</v>
      </c>
      <c r="D17" s="123" t="s">
        <v>111</v>
      </c>
      <c r="E17" s="122" t="s">
        <v>65</v>
      </c>
    </row>
    <row r="18" spans="1:7" ht="22.5" thickTop="1" thickBot="1" x14ac:dyDescent="0.3">
      <c r="A18" s="126">
        <v>15</v>
      </c>
      <c r="B18" s="125"/>
      <c r="C18" s="124" t="s">
        <v>119</v>
      </c>
      <c r="D18" s="123">
        <v>115</v>
      </c>
      <c r="E18" s="122">
        <v>0</v>
      </c>
    </row>
    <row r="19" spans="1:7" ht="22.5" thickTop="1" thickBot="1" x14ac:dyDescent="0.3">
      <c r="A19" s="126">
        <v>16</v>
      </c>
      <c r="B19" s="125"/>
      <c r="C19" s="124" t="s">
        <v>118</v>
      </c>
      <c r="D19" s="123" t="s">
        <v>111</v>
      </c>
      <c r="E19" s="122" t="s">
        <v>65</v>
      </c>
    </row>
    <row r="20" spans="1:7" ht="22.5" thickTop="1" thickBot="1" x14ac:dyDescent="0.3">
      <c r="A20" s="126">
        <v>17</v>
      </c>
      <c r="B20" s="125"/>
      <c r="C20" s="124" t="s">
        <v>117</v>
      </c>
      <c r="D20" s="123" t="s">
        <v>111</v>
      </c>
      <c r="E20" s="122" t="s">
        <v>65</v>
      </c>
    </row>
    <row r="21" spans="1:7" ht="22.5" thickTop="1" thickBot="1" x14ac:dyDescent="0.3">
      <c r="A21" s="126">
        <v>18</v>
      </c>
      <c r="B21" s="125"/>
      <c r="C21" s="124" t="s">
        <v>116</v>
      </c>
      <c r="D21" s="123">
        <v>79</v>
      </c>
      <c r="E21" s="122" t="s">
        <v>115</v>
      </c>
    </row>
    <row r="22" spans="1:7" ht="22.5" thickTop="1" thickBot="1" x14ac:dyDescent="0.3">
      <c r="A22" s="126">
        <v>19</v>
      </c>
      <c r="B22" s="125"/>
      <c r="C22" s="124" t="e">
        <v>#N/A</v>
      </c>
      <c r="D22" s="123" t="s">
        <v>111</v>
      </c>
      <c r="E22" s="122" t="s">
        <v>65</v>
      </c>
    </row>
    <row r="23" spans="1:7" ht="22.5" thickTop="1" thickBot="1" x14ac:dyDescent="0.3">
      <c r="A23" s="126">
        <v>20</v>
      </c>
      <c r="B23" s="125"/>
      <c r="C23" s="124" t="e">
        <v>#N/A</v>
      </c>
      <c r="D23" s="123" t="s">
        <v>111</v>
      </c>
      <c r="E23" s="122" t="s">
        <v>65</v>
      </c>
    </row>
    <row r="24" spans="1:7" ht="22.5" thickTop="1" thickBot="1" x14ac:dyDescent="0.3">
      <c r="A24" s="126">
        <v>21</v>
      </c>
      <c r="B24" s="125"/>
      <c r="C24" s="124" t="e">
        <v>#N/A</v>
      </c>
      <c r="D24" s="123" t="s">
        <v>111</v>
      </c>
      <c r="E24" s="122" t="s">
        <v>65</v>
      </c>
    </row>
    <row r="25" spans="1:7" ht="22.5" thickTop="1" thickBot="1" x14ac:dyDescent="0.3">
      <c r="A25" s="126">
        <v>22</v>
      </c>
      <c r="B25" s="125"/>
      <c r="C25" s="124" t="e">
        <v>#N/A</v>
      </c>
      <c r="D25" s="123" t="s">
        <v>111</v>
      </c>
      <c r="E25" s="122" t="s">
        <v>65</v>
      </c>
    </row>
    <row r="26" spans="1:7" ht="22.5" thickTop="1" thickBot="1" x14ac:dyDescent="0.3">
      <c r="A26" s="126">
        <v>23</v>
      </c>
      <c r="B26" s="125"/>
      <c r="C26" s="124" t="e">
        <v>#N/A</v>
      </c>
      <c r="D26" s="123" t="s">
        <v>111</v>
      </c>
      <c r="E26" s="122" t="s">
        <v>65</v>
      </c>
      <c r="G26" t="s">
        <v>114</v>
      </c>
    </row>
    <row r="27" spans="1:7" ht="22.5" thickTop="1" thickBot="1" x14ac:dyDescent="0.3">
      <c r="A27" s="126">
        <v>24</v>
      </c>
      <c r="B27" s="125"/>
      <c r="C27" s="124" t="e">
        <v>#N/A</v>
      </c>
      <c r="D27" s="123" t="s">
        <v>111</v>
      </c>
      <c r="E27" s="122" t="s">
        <v>65</v>
      </c>
      <c r="G27" t="s">
        <v>113</v>
      </c>
    </row>
    <row r="28" spans="1:7" ht="22.5" thickTop="1" thickBot="1" x14ac:dyDescent="0.3">
      <c r="A28" s="126">
        <v>25</v>
      </c>
      <c r="B28" s="125"/>
      <c r="C28" s="124" t="e">
        <v>#N/A</v>
      </c>
      <c r="D28" s="123" t="s">
        <v>111</v>
      </c>
      <c r="E28" s="122" t="s">
        <v>65</v>
      </c>
      <c r="G28" t="s">
        <v>112</v>
      </c>
    </row>
    <row r="29" spans="1:7" ht="22.5" thickTop="1" thickBot="1" x14ac:dyDescent="0.3">
      <c r="A29" s="126">
        <v>26</v>
      </c>
      <c r="B29" s="125"/>
      <c r="C29" s="124" t="e">
        <v>#N/A</v>
      </c>
      <c r="D29" s="123" t="s">
        <v>111</v>
      </c>
      <c r="E29" s="122" t="s">
        <v>65</v>
      </c>
    </row>
    <row r="30" spans="1:7" ht="22.5" thickTop="1" thickBot="1" x14ac:dyDescent="0.3">
      <c r="A30" s="126">
        <v>27</v>
      </c>
      <c r="B30" s="125"/>
      <c r="C30" s="124" t="e">
        <v>#N/A</v>
      </c>
      <c r="D30" s="123" t="s">
        <v>111</v>
      </c>
      <c r="E30" s="122" t="s">
        <v>65</v>
      </c>
    </row>
    <row r="31" spans="1:7" ht="22.5" thickTop="1" thickBot="1" x14ac:dyDescent="0.3">
      <c r="A31" s="126">
        <v>28</v>
      </c>
      <c r="B31" s="125"/>
      <c r="C31" s="124" t="e">
        <v>#N/A</v>
      </c>
      <c r="D31" s="123" t="s">
        <v>111</v>
      </c>
      <c r="E31" s="122" t="s">
        <v>65</v>
      </c>
    </row>
    <row r="32" spans="1:7" ht="22.5" thickTop="1" thickBot="1" x14ac:dyDescent="0.3">
      <c r="A32" s="126">
        <v>29</v>
      </c>
      <c r="B32" s="125"/>
      <c r="C32" s="124" t="e">
        <v>#N/A</v>
      </c>
      <c r="D32" s="123" t="s">
        <v>111</v>
      </c>
      <c r="E32" s="122" t="s">
        <v>65</v>
      </c>
    </row>
    <row r="33" spans="1:5" ht="22.5" thickTop="1" thickBot="1" x14ac:dyDescent="0.3">
      <c r="A33" s="126">
        <v>30</v>
      </c>
      <c r="B33" s="125"/>
      <c r="C33" s="124" t="e">
        <v>#N/A</v>
      </c>
      <c r="D33" s="123" t="s">
        <v>111</v>
      </c>
      <c r="E33" s="122" t="s">
        <v>65</v>
      </c>
    </row>
    <row r="34" spans="1:5" ht="22.5" thickTop="1" thickBot="1" x14ac:dyDescent="0.3">
      <c r="A34" s="126">
        <v>31</v>
      </c>
      <c r="B34" s="125"/>
      <c r="C34" s="124" t="e">
        <v>#N/A</v>
      </c>
      <c r="D34" s="123" t="s">
        <v>111</v>
      </c>
      <c r="E34" s="122" t="s">
        <v>65</v>
      </c>
    </row>
    <row r="35" spans="1:5" ht="22.5" thickTop="1" thickBot="1" x14ac:dyDescent="0.3">
      <c r="A35" s="126">
        <v>32</v>
      </c>
      <c r="B35" s="125"/>
      <c r="C35" s="124" t="e">
        <v>#N/A</v>
      </c>
      <c r="D35" s="123" t="s">
        <v>111</v>
      </c>
      <c r="E35" s="122" t="s">
        <v>65</v>
      </c>
    </row>
    <row r="36" spans="1:5" ht="22.5" thickTop="1" thickBot="1" x14ac:dyDescent="0.3">
      <c r="A36" s="126">
        <v>33</v>
      </c>
      <c r="B36" s="125"/>
      <c r="C36" s="124" t="e">
        <v>#N/A</v>
      </c>
      <c r="D36" s="123" t="s">
        <v>111</v>
      </c>
      <c r="E36" s="122" t="s">
        <v>65</v>
      </c>
    </row>
    <row r="37" spans="1:5" ht="22.5" thickTop="1" thickBot="1" x14ac:dyDescent="0.3">
      <c r="A37" s="126">
        <v>34</v>
      </c>
      <c r="B37" s="125"/>
      <c r="C37" s="124" t="e">
        <v>#N/A</v>
      </c>
      <c r="D37" s="123" t="s">
        <v>111</v>
      </c>
      <c r="E37" s="122" t="s">
        <v>65</v>
      </c>
    </row>
    <row r="38" spans="1:5" ht="22.5" thickTop="1" thickBot="1" x14ac:dyDescent="0.3">
      <c r="A38" s="126">
        <v>35</v>
      </c>
      <c r="B38" s="125"/>
      <c r="C38" s="124" t="e">
        <v>#N/A</v>
      </c>
      <c r="D38" s="123" t="s">
        <v>111</v>
      </c>
      <c r="E38" s="122" t="s">
        <v>65</v>
      </c>
    </row>
    <row r="39" spans="1:5" ht="22.5" thickTop="1" thickBot="1" x14ac:dyDescent="0.3">
      <c r="A39" s="126">
        <v>36</v>
      </c>
      <c r="B39" s="125"/>
      <c r="C39" s="124" t="e">
        <v>#N/A</v>
      </c>
      <c r="D39" s="123" t="s">
        <v>111</v>
      </c>
      <c r="E39" s="122" t="s">
        <v>65</v>
      </c>
    </row>
    <row r="40" spans="1:5" ht="22.5" thickTop="1" thickBot="1" x14ac:dyDescent="0.3">
      <c r="A40" s="126">
        <v>37</v>
      </c>
      <c r="B40" s="125"/>
      <c r="C40" s="124" t="e">
        <v>#N/A</v>
      </c>
      <c r="D40" s="123" t="s">
        <v>111</v>
      </c>
      <c r="E40" s="122" t="s">
        <v>65</v>
      </c>
    </row>
    <row r="41" spans="1:5" ht="22.5" thickTop="1" thickBot="1" x14ac:dyDescent="0.3">
      <c r="A41" s="126">
        <v>38</v>
      </c>
      <c r="B41" s="125"/>
      <c r="C41" s="124" t="e">
        <v>#N/A</v>
      </c>
      <c r="D41" s="123" t="s">
        <v>111</v>
      </c>
      <c r="E41" s="122" t="s">
        <v>65</v>
      </c>
    </row>
    <row r="42" spans="1:5" ht="22.5" thickTop="1" thickBot="1" x14ac:dyDescent="0.3">
      <c r="A42" s="126">
        <v>39</v>
      </c>
      <c r="B42" s="125"/>
      <c r="C42" s="124" t="e">
        <v>#N/A</v>
      </c>
      <c r="D42" s="123" t="s">
        <v>111</v>
      </c>
      <c r="E42" s="122" t="s">
        <v>65</v>
      </c>
    </row>
    <row r="43" spans="1:5" ht="22.5" thickTop="1" thickBot="1" x14ac:dyDescent="0.3">
      <c r="A43" s="126">
        <v>40</v>
      </c>
      <c r="B43" s="125"/>
      <c r="C43" s="124" t="e">
        <v>#N/A</v>
      </c>
      <c r="D43" s="123" t="s">
        <v>111</v>
      </c>
      <c r="E43" s="122" t="s">
        <v>65</v>
      </c>
    </row>
    <row r="44" spans="1:5" ht="22.5" thickTop="1" thickBot="1" x14ac:dyDescent="0.3">
      <c r="A44" s="126">
        <v>41</v>
      </c>
      <c r="B44" s="125"/>
      <c r="C44" s="124" t="e">
        <v>#N/A</v>
      </c>
      <c r="D44" s="123" t="s">
        <v>111</v>
      </c>
      <c r="E44" s="122" t="s">
        <v>65</v>
      </c>
    </row>
    <row r="45" spans="1:5" ht="22.5" thickTop="1" thickBot="1" x14ac:dyDescent="0.3">
      <c r="A45" s="126">
        <v>42</v>
      </c>
      <c r="B45" s="125"/>
      <c r="C45" s="124" t="e">
        <v>#N/A</v>
      </c>
      <c r="D45" s="123" t="s">
        <v>111</v>
      </c>
      <c r="E45" s="122" t="s">
        <v>65</v>
      </c>
    </row>
    <row r="46" spans="1:5" ht="22.5" thickTop="1" thickBot="1" x14ac:dyDescent="0.3">
      <c r="A46" s="126">
        <v>43</v>
      </c>
      <c r="B46" s="125"/>
      <c r="C46" s="124" t="e">
        <v>#N/A</v>
      </c>
      <c r="D46" s="123" t="s">
        <v>111</v>
      </c>
      <c r="E46" s="122" t="s">
        <v>65</v>
      </c>
    </row>
    <row r="47" spans="1:5" ht="22.5" thickTop="1" thickBot="1" x14ac:dyDescent="0.3">
      <c r="A47" s="126">
        <v>44</v>
      </c>
      <c r="B47" s="125"/>
      <c r="C47" s="124" t="e">
        <v>#N/A</v>
      </c>
      <c r="D47" s="123" t="s">
        <v>111</v>
      </c>
      <c r="E47" s="122" t="s">
        <v>65</v>
      </c>
    </row>
    <row r="48" spans="1:5" ht="22.5" thickTop="1" thickBot="1" x14ac:dyDescent="0.3">
      <c r="A48" s="126">
        <v>45</v>
      </c>
      <c r="B48" s="125"/>
      <c r="C48" s="124" t="e">
        <v>#N/A</v>
      </c>
      <c r="D48" s="123" t="s">
        <v>111</v>
      </c>
      <c r="E48" s="122" t="s">
        <v>65</v>
      </c>
    </row>
    <row r="49" spans="1:7" ht="187.5" customHeight="1" thickTop="1" x14ac:dyDescent="0.4">
      <c r="A49" s="138"/>
      <c r="B49" s="139"/>
      <c r="C49" s="139"/>
      <c r="D49" s="139"/>
      <c r="E49" s="140"/>
      <c r="G49" s="121"/>
    </row>
    <row r="50" spans="1:7" ht="169.5" customHeight="1" x14ac:dyDescent="0.25">
      <c r="A50" s="120"/>
      <c r="B50" s="120"/>
      <c r="C50" s="119"/>
      <c r="D50" s="119"/>
      <c r="E50" s="118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17"/>
      <c r="D77" s="117"/>
    </row>
    <row r="78" spans="3:4" ht="30" customHeight="1" x14ac:dyDescent="0.25">
      <c r="C78" s="117"/>
      <c r="D78" s="117"/>
    </row>
    <row r="79" spans="3:4" ht="30" customHeight="1" x14ac:dyDescent="0.25">
      <c r="C79" s="117"/>
      <c r="D79" s="117"/>
    </row>
    <row r="80" spans="3:4" ht="30" customHeight="1" x14ac:dyDescent="0.25">
      <c r="C80" s="117"/>
      <c r="D80" s="117"/>
    </row>
    <row r="81" spans="3:6" ht="30" customHeight="1" x14ac:dyDescent="0.25">
      <c r="C81" s="117"/>
      <c r="D81" s="117"/>
    </row>
    <row r="82" spans="3:6" ht="30" customHeight="1" x14ac:dyDescent="0.25">
      <c r="C82" s="117"/>
      <c r="D82" s="117"/>
    </row>
    <row r="83" spans="3:6" ht="30" customHeight="1" x14ac:dyDescent="0.25">
      <c r="C83" s="117"/>
      <c r="D83" s="117"/>
    </row>
    <row r="84" spans="3:6" ht="30" customHeight="1" x14ac:dyDescent="0.25">
      <c r="C84" s="117"/>
      <c r="D84" s="117"/>
    </row>
    <row r="85" spans="3:6" ht="30" customHeight="1" x14ac:dyDescent="0.25">
      <c r="C85" s="117"/>
      <c r="D85" s="117"/>
    </row>
    <row r="86" spans="3:6" ht="30" customHeight="1" x14ac:dyDescent="0.25">
      <c r="C86" s="117"/>
      <c r="D86" s="117"/>
    </row>
    <row r="87" spans="3:6" ht="30" customHeight="1" x14ac:dyDescent="0.25">
      <c r="C87" s="117"/>
      <c r="D87" s="117"/>
    </row>
    <row r="88" spans="3:6" ht="30" customHeight="1" x14ac:dyDescent="0.25">
      <c r="C88" s="117"/>
      <c r="D88" s="117"/>
    </row>
    <row r="89" spans="3:6" ht="30" customHeight="1" x14ac:dyDescent="0.25">
      <c r="C89" s="117"/>
      <c r="D89" s="117"/>
    </row>
    <row r="90" spans="3:6" x14ac:dyDescent="0.25">
      <c r="C90" s="117"/>
      <c r="D90" s="117"/>
    </row>
    <row r="91" spans="3:6" x14ac:dyDescent="0.25">
      <c r="C91" s="116"/>
      <c r="D91" s="116"/>
      <c r="E91" s="115"/>
      <c r="F91" s="114"/>
    </row>
    <row r="92" spans="3:6" x14ac:dyDescent="0.25">
      <c r="C92" s="116"/>
      <c r="D92" s="116"/>
      <c r="E92" s="115"/>
      <c r="F92" s="114"/>
    </row>
    <row r="93" spans="3:6" x14ac:dyDescent="0.25">
      <c r="C93" s="115"/>
      <c r="D93" s="115"/>
      <c r="E93" s="114"/>
      <c r="F93" s="114"/>
    </row>
  </sheetData>
  <mergeCells count="2">
    <mergeCell ref="A2:C2"/>
    <mergeCell ref="A49:E49"/>
  </mergeCells>
  <conditionalFormatting sqref="C4:C48">
    <cfRule type="containsText" dxfId="126" priority="1" stopIfTrue="1" operator="containsText" text="PENDENTE">
      <formula>NOT(ISERROR(SEARCH("PENDENTE",C4)))</formula>
    </cfRule>
    <cfRule type="containsText" dxfId="125" priority="2" stopIfTrue="1" operator="containsText" text="Presente">
      <formula>NOT(ISERROR(SEARCH("Presente",C4)))</formula>
    </cfRule>
    <cfRule type="containsText" dxfId="124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2026-10-25T01:06:16Z</dcterms:modified>
</cp:coreProperties>
</file>