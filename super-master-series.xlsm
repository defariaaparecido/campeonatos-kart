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7" documentId="8_{C9B65AE1-A545-4D6F-8AF7-71A03847E1B6}" xr6:coauthVersionLast="47" xr6:coauthVersionMax="47" xr10:uidLastSave="{E6F4606B-1B15-4FF1-BC23-931D03EAC9C0}"/>
  <bookViews>
    <workbookView xWindow="-120" yWindow="-120" windowWidth="20730" windowHeight="11160" tabRatio="790" activeTab="5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LARGADA" sheetId="2118" r:id="rId6"/>
    <sheet name="Vazia" sheetId="11" r:id="rId7"/>
  </sheets>
  <definedNames>
    <definedName name="_xlnm._FilterDatabase" localSheetId="3" hidden="1">CLASSIFICAÇÃO!$B$4:$C$49</definedName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9451ACEE-51E1-41D4-A193-FFD95F979B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88F0613-CB84-4FEA-A414-686999FB33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429CEC20-A111-4198-A341-B49CD7D04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64D10FB-4048-46A9-8CDD-13AFFC6B03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299EE5A-C78A-4E47-91C6-3BB8D152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D35EB92-01C8-4ACA-A89C-957D0D178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675984-7BA1-45FA-A1AF-953E180DC0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893BF17-8738-400A-BE02-DB29D05AB8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124E331D-0F4D-4B31-BB59-07420C91E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BB43A59F-C30C-43CB-8680-8F4E924D7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8AA7EB28-E5BF-4380-8175-93F4805BA5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F75667D1-DC77-4E2B-B2B2-ECBBF7F185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70231687-BDFB-48E0-8FC2-A8BD3257FC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O7" authorId="0" shapeId="0" xr:uid="{553458EB-E1AE-4C7E-966C-8498034BF8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F9" authorId="0" shapeId="0" xr:uid="{D7A807EF-1109-4D0B-8A5D-F13494191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0" authorId="0" shapeId="0" xr:uid="{182368F1-02C8-4BFD-A8E4-EDAE5087B3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1" authorId="0" shapeId="0" xr:uid="{3F2FB26E-EB7D-4520-9C88-3661C85CDC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4" authorId="0" shapeId="0" xr:uid="{F55D0B11-FAD5-4281-935D-B2F7D10F18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F7BCA8-5136-4EE3-B3C2-B01780EC77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G15" authorId="0" shapeId="0" xr:uid="{85C73C44-F088-49B8-AA8F-86F195C123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6B0F7CF5-E323-4E1B-9999-9C7830F791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S18" authorId="0" shapeId="0" xr:uid="{FB85761B-FAF7-4D7C-B6F1-FA71C4E853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<sst xmlns="http://schemas.openxmlformats.org/spreadsheetml/2006/main" count="4143" uniqueCount="145">
  <si>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</si>
  <si>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</si>
  <si>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</si>
  <si>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</si>
  <si>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</si>
  <si>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</si>
  <si>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</si>
  <si>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</si>
  <si>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</si>
  <si>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</si>
  <si>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</si>
  <si>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</si>
  <si>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</si>
  <si>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</si>
  <si>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</si>
  <si>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</si>
  <si>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</si>
  <si>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</si>
  <si>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</si>
  <si>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</si>
  <si>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</si>
  <si>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</si>
  <si>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</si>
  <si>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</si>
  <si>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</si>
  <si>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</si>
  <si>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</si>
  <si>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</si>
  <si>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</si>
  <si>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</si>
  <si>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</si>
  <si>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</si>
  <si>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</si>
  <si>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</si>
  <si>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</si>
  <si>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</si>
  <si>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</si>
  <si>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</si>
  <si>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</si>
  <si>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</si>
  <si>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</si>
  <si>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</si>
  <si>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</si>
  <si>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</si>
  <si>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</si>
  <si>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</si>
  <si>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</si>
  <si>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</si>
  <si>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</si>
  <si>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</si>
  <si>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</si>
  <si>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</si>
  <si>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</si>
  <si>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</si>
  <si>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</si>
  <si>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</si>
  <si>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</si>
  <si>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</si>
  <si>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</si>
  <si>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</si>
  <si>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</si>
  <si>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</si>
  <si>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</si>
  <si>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</si>
  <si>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</si>
  <si>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</si>
  <si>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</si>
  <si>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</si>
  <si>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</si>
  <si>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</si>
  <si>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</si>
  <si>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</si>
  <si>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</si>
  <si>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</si>
  <si>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</si>
  <si>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</si>
  <si>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</si>
  <si>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</si>
  <si>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</si>
  <si>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</si>
  <si>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</si>
  <si>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</si>
  <si>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</si>
  <si>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</si>
  <si>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</si>
  <si>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</si>
  <si>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</si>
  <si>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</si>
  <si>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</si>
  <si>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</si>
  <si>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</si>
  <si>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</si>
  <si>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</si>
  <si>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</si>
  <si>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</si>
  <si>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</si>
  <si>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</si>
  <si>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</si>
  <si>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</si>
  <si>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</si>
  <si>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</si>
  <si>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</si>
  <si>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</si>
  <si>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</si>
  <si>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</si>
  <si>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</si>
  <si>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</si>
  <si>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</si>
  <si>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</si>
  <si>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</si>
  <si>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12/09/26 12:39:03</t>
  </si>
  <si>
    <t xml:space="preserve">ATUALIZADO = </t>
  </si>
  <si>
    <t>POS.</t>
  </si>
  <si>
    <t>KART</t>
  </si>
  <si>
    <t>PESO</t>
  </si>
  <si>
    <t>LASTRO</t>
  </si>
  <si>
    <t>Gijo               Pendente</t>
  </si>
  <si>
    <t>Sem informação</t>
  </si>
  <si>
    <t>2 X 5kg = 10kg</t>
  </si>
  <si>
    <t>1 X 5kg + 1 X 2,5kg = 7,5kg</t>
  </si>
  <si>
    <t>michel 78</t>
  </si>
  <si>
    <t>jucimar 97</t>
  </si>
  <si>
    <t>jorge prado 91</t>
  </si>
  <si>
    <t>Leodegario Junior              Pendente</t>
  </si>
  <si>
    <t>Adriano Morato              Pendente</t>
  </si>
  <si>
    <t>Leonardo Antunes              Pendente</t>
  </si>
  <si>
    <t>2 X 5kg + 1 X 2,5kg = 12,5kg</t>
  </si>
  <si>
    <t>Remy Gp              Pendente</t>
  </si>
  <si>
    <t>Sérgio Done              Pendente</t>
  </si>
  <si>
    <t>Cláudio Glória              Pendente</t>
  </si>
  <si>
    <t>Ivan Renault              Pendente</t>
  </si>
  <si>
    <t>Luiz Otávio              Pendente</t>
  </si>
  <si>
    <t>Túlio Borges              Pendente</t>
  </si>
  <si>
    <t>5 X 5kg = 25kg</t>
  </si>
  <si>
    <t>Aparecido Arantes              Pendente</t>
  </si>
  <si>
    <t>Hélio Chagas              Pendente</t>
  </si>
  <si>
    <t>1 X 5kg = 5kg</t>
  </si>
  <si>
    <t>Jorge Prado              Pendente</t>
  </si>
  <si>
    <t>LARGADA 10ª ETAPA - SUPER MASTER SERIES</t>
  </si>
  <si>
    <t>Morvan               Ausente</t>
  </si>
  <si>
    <t>Michel Abouud              Presente</t>
  </si>
  <si>
    <t>Chalmmers               Presente</t>
  </si>
  <si>
    <t>Hugo Fabian              Ausente</t>
  </si>
  <si>
    <t>4 X 5kg + 1 X 2,5kg = 22,5kg</t>
  </si>
  <si>
    <t>Eduardo Vitol              Presente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</si>
</sst>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8"/>
    </xf>
    <xf numFmtId="0" fontId="22" fillId="11" borderId="40" xfId="0" quotePrefix="1" applyFont="1" applyFill="1" applyBorder="1" applyAlignment="1">
      <alignment horizontal="left" vertical="center" wrapText="1" indent="8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00000000-0008-0000-0100-000001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00000000-0008-0000-0200-00000C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00000000-0008-0000-0400-000001A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E825242-AF3B-4AB6-9270-BDEE718F9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34D22521-4161-427C-8FEB-FF213AD79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8FB8-7ECA-4468-BB8A-CF2A5711A4E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D1BA-D3C3-483E-B63E-770CDF76E67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9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/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/>
      <c r="L10" s="97"/>
      <c r="M10" s="97"/>
      <c r="N10" s="97">
        <v>3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9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/>
      <c r="L15" s="97"/>
      <c r="M15" s="97"/>
      <c r="N15" s="97">
        <v>4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/>
      <c r="L19" s="97"/>
      <c r="M19" s="97"/>
      <c r="N19" s="97">
        <v>6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0.36419753086419754</v>
      </c>
      <c r="O46" s="97"/>
    </row>
  </sheetData>
  <autoFilter ref="A1:O46" xr:uid="{00000000-0001-0000-0B00-000000000000}"/>
  <conditionalFormatting sqref="N2:N46">
    <cfRule type="cellIs" dxfId="124" priority="3" operator="equal">
      <formula>3</formula>
    </cfRule>
    <cfRule type="cellIs" dxfId="123" priority="4" operator="greaterThan">
      <formula>3</formula>
    </cfRule>
  </conditionalFormatting>
  <conditionalFormatting sqref="O2:O46">
    <cfRule type="cellIs" dxfId="122" priority="1" operator="equal">
      <formula>3</formula>
    </cfRule>
    <cfRule type="cellIs" dxfId="121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0362-0326-4CE2-BD5E-4CF73475ECDC}">
  <sheetPr codeName="Plan4"/>
  <dimension ref="A1:XFD49"/>
  <sheetViews>
    <sheetView showGridLines="0" zoomScaleNormal="100" workbookViewId="0">
      <pane xSplit="3" ySplit="4" topLeftCell="Z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81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55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79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126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84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89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53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0" priority="59" stopIfTrue="1"/>
  </conditionalFormatting>
  <conditionalFormatting sqref="B5:B49">
    <cfRule type="duplicateValues" dxfId="119" priority="58"/>
  </conditionalFormatting>
  <conditionalFormatting sqref="H49">
    <cfRule type="duplicateValues" dxfId="118" priority="57" stopIfTrue="1"/>
  </conditionalFormatting>
  <conditionalFormatting sqref="AE49">
    <cfRule type="expression" dxfId="117" priority="55">
      <formula>COUNTIF($D49:AE49,"SIM")=1</formula>
    </cfRule>
    <cfRule type="expression" dxfId="116" priority="56">
      <formula>COUNTIF($D49:AE49,"SIM")&gt;=2</formula>
    </cfRule>
  </conditionalFormatting>
  <conditionalFormatting sqref="W49">
    <cfRule type="expression" dxfId="115" priority="53">
      <formula>COUNTIF($D49:W49,"SIM")=1</formula>
    </cfRule>
    <cfRule type="expression" dxfId="114" priority="54">
      <formula>COUNTIF($D49:W49,"SIM")&gt;=2</formula>
    </cfRule>
  </conditionalFormatting>
  <conditionalFormatting sqref="W35:W48">
    <cfRule type="expression" dxfId="113" priority="51">
      <formula>COUNTIF($D35:W35,"SIM")=1</formula>
    </cfRule>
    <cfRule type="expression" dxfId="112" priority="52">
      <formula>COUNTIF($D35:W35,"SIM")&gt;=2</formula>
    </cfRule>
  </conditionalFormatting>
  <conditionalFormatting sqref="W38">
    <cfRule type="expression" dxfId="111" priority="49">
      <formula>COUNTIF($D38:W38,"SIM")=1</formula>
    </cfRule>
    <cfRule type="expression" dxfId="110" priority="50">
      <formula>COUNTIF($D38:W38,"SIM")&gt;=2</formula>
    </cfRule>
  </conditionalFormatting>
  <conditionalFormatting sqref="AA5:AA49">
    <cfRule type="expression" dxfId="109" priority="47">
      <formula>COUNTIF($D5:AA5,"SIM")=1</formula>
    </cfRule>
    <cfRule type="expression" dxfId="108" priority="48">
      <formula>COUNTIF($D5:AA5,"SIM")&gt;=2</formula>
    </cfRule>
  </conditionalFormatting>
  <conditionalFormatting sqref="AE5:AE20">
    <cfRule type="expression" dxfId="107" priority="45">
      <formula>COUNTIF($D5:AE5,"SIM")=1</formula>
    </cfRule>
    <cfRule type="expression" dxfId="106" priority="46">
      <formula>COUNTIF($D5:AE5,"SIM")&gt;=2</formula>
    </cfRule>
  </conditionalFormatting>
  <conditionalFormatting sqref="AI5:AI49">
    <cfRule type="expression" dxfId="105" priority="43">
      <formula>COUNTIF($D5:AI5,"SIM")=1</formula>
    </cfRule>
    <cfRule type="expression" dxfId="104" priority="44">
      <formula>COUNTIF($D5:AI5,"SIM")&gt;=2</formula>
    </cfRule>
  </conditionalFormatting>
  <conditionalFormatting sqref="L49">
    <cfRule type="duplicateValues" dxfId="103" priority="42" stopIfTrue="1"/>
  </conditionalFormatting>
  <conditionalFormatting sqref="P49">
    <cfRule type="duplicateValues" dxfId="102" priority="41" stopIfTrue="1"/>
  </conditionalFormatting>
  <conditionalFormatting sqref="T49">
    <cfRule type="duplicateValues" dxfId="101" priority="40" stopIfTrue="1"/>
  </conditionalFormatting>
  <conditionalFormatting sqref="X49">
    <cfRule type="duplicateValues" dxfId="100" priority="39" stopIfTrue="1"/>
  </conditionalFormatting>
  <conditionalFormatting sqref="AB49">
    <cfRule type="duplicateValues" dxfId="99" priority="38" stopIfTrue="1"/>
  </conditionalFormatting>
  <conditionalFormatting sqref="AJ49">
    <cfRule type="duplicateValues" dxfId="98" priority="37" stopIfTrue="1"/>
  </conditionalFormatting>
  <conditionalFormatting sqref="AN49">
    <cfRule type="duplicateValues" dxfId="97" priority="36" stopIfTrue="1"/>
  </conditionalFormatting>
  <conditionalFormatting sqref="AR49">
    <cfRule type="duplicateValues" dxfId="96" priority="35" stopIfTrue="1"/>
  </conditionalFormatting>
  <conditionalFormatting sqref="AV49">
    <cfRule type="duplicateValues" dxfId="95" priority="34" stopIfTrue="1"/>
  </conditionalFormatting>
  <conditionalFormatting sqref="H5:H48">
    <cfRule type="duplicateValues" dxfId="94" priority="33" stopIfTrue="1"/>
  </conditionalFormatting>
  <conditionalFormatting sqref="L5:L48">
    <cfRule type="duplicateValues" dxfId="93" priority="32" stopIfTrue="1"/>
  </conditionalFormatting>
  <conditionalFormatting sqref="P5:P48">
    <cfRule type="duplicateValues" dxfId="92" priority="31" stopIfTrue="1"/>
  </conditionalFormatting>
  <conditionalFormatting sqref="T5:T48">
    <cfRule type="duplicateValues" dxfId="91" priority="30" stopIfTrue="1"/>
  </conditionalFormatting>
  <conditionalFormatting sqref="W34">
    <cfRule type="expression" dxfId="90" priority="28">
      <formula>COUNTIF($D34:W34,"SIM")=1</formula>
    </cfRule>
    <cfRule type="expression" dxfId="89" priority="29">
      <formula>COUNTIF($D34:W34,"SIM")&gt;=2</formula>
    </cfRule>
  </conditionalFormatting>
  <conditionalFormatting sqref="X5:X48">
    <cfRule type="duplicateValues" dxfId="88" priority="27" stopIfTrue="1"/>
  </conditionalFormatting>
  <conditionalFormatting sqref="W5:W33">
    <cfRule type="expression" dxfId="87" priority="25">
      <formula>COUNTIF($D5:W5,"SIM")=1</formula>
    </cfRule>
    <cfRule type="expression" dxfId="86" priority="26">
      <formula>COUNTIF($D5:W5,"SIM")&gt;=2</formula>
    </cfRule>
  </conditionalFormatting>
  <conditionalFormatting sqref="S5:S49">
    <cfRule type="expression" dxfId="85" priority="23">
      <formula>COUNTIF($D5:S5,"SIM")=1</formula>
    </cfRule>
    <cfRule type="expression" dxfId="84" priority="24">
      <formula>COUNTIF($D5:S5,"SIM")&gt;=2</formula>
    </cfRule>
  </conditionalFormatting>
  <conditionalFormatting sqref="O5:O49">
    <cfRule type="expression" dxfId="83" priority="21">
      <formula>COUNTIF($D5:O5,"SIM")=1</formula>
    </cfRule>
    <cfRule type="expression" dxfId="82" priority="22">
      <formula>COUNTIF($D5:O5,"SIM")&gt;=2</formula>
    </cfRule>
  </conditionalFormatting>
  <conditionalFormatting sqref="K5:K49">
    <cfRule type="expression" dxfId="81" priority="19">
      <formula>COUNTIF($D5:K5,"SIM")=1</formula>
    </cfRule>
    <cfRule type="expression" dxfId="80" priority="20">
      <formula>COUNTIF($D5:K5,"SIM")&gt;=2</formula>
    </cfRule>
  </conditionalFormatting>
  <conditionalFormatting sqref="G5:G49">
    <cfRule type="expression" dxfId="79" priority="17">
      <formula>COUNTIF($D5:G5,"SIM")=1</formula>
    </cfRule>
    <cfRule type="expression" dxfId="78" priority="18">
      <formula>COUNTIF($D5:G5,"SIM")&gt;=2</formula>
    </cfRule>
  </conditionalFormatting>
  <conditionalFormatting sqref="AB5:AB48">
    <cfRule type="duplicateValues" dxfId="77" priority="16" stopIfTrue="1"/>
  </conditionalFormatting>
  <conditionalFormatting sqref="AE21:AE48">
    <cfRule type="expression" dxfId="76" priority="14">
      <formula>COUNTIF($D21:AE21,"SIM")=1</formula>
    </cfRule>
    <cfRule type="expression" dxfId="75" priority="15">
      <formula>COUNTIF($D21:AE21,"SIM")&gt;=2</formula>
    </cfRule>
  </conditionalFormatting>
  <conditionalFormatting sqref="AF5:AF49">
    <cfRule type="duplicateValues" dxfId="74" priority="13" stopIfTrue="1"/>
  </conditionalFormatting>
  <conditionalFormatting sqref="AJ5:AJ48">
    <cfRule type="duplicateValues" dxfId="73" priority="12" stopIfTrue="1"/>
  </conditionalFormatting>
  <conditionalFormatting sqref="AM5:AM49">
    <cfRule type="expression" dxfId="72" priority="10">
      <formula>COUNTIF($D5:AM5,"SIM")=1</formula>
    </cfRule>
    <cfRule type="expression" dxfId="71" priority="11">
      <formula>COUNTIF($D5:AM5,"SIM")&gt;=2</formula>
    </cfRule>
  </conditionalFormatting>
  <conditionalFormatting sqref="AN5:AN48">
    <cfRule type="duplicateValues" dxfId="70" priority="9" stopIfTrue="1"/>
  </conditionalFormatting>
  <conditionalFormatting sqref="AQ5:AQ49">
    <cfRule type="expression" dxfId="69" priority="7">
      <formula>COUNTIF($D5:AQ5,"SIM")=1</formula>
    </cfRule>
    <cfRule type="expression" dxfId="68" priority="8">
      <formula>COUNTIF($D5:AQ5,"SIM")&gt;=2</formula>
    </cfRule>
  </conditionalFormatting>
  <conditionalFormatting sqref="AR5:AR48">
    <cfRule type="duplicateValues" dxfId="67" priority="6" stopIfTrue="1"/>
  </conditionalFormatting>
  <conditionalFormatting sqref="AU5:AU49">
    <cfRule type="expression" dxfId="66" priority="4">
      <formula>COUNTIF($D5:AU5,"SIM")=1</formula>
    </cfRule>
    <cfRule type="expression" dxfId="65" priority="5">
      <formula>COUNTIF($D5:AU5,"SIM")&gt;=2</formula>
    </cfRule>
  </conditionalFormatting>
  <conditionalFormatting sqref="AV5:AV48">
    <cfRule type="duplicateValues" dxfId="64" priority="3" stopIfTrue="1"/>
  </conditionalFormatting>
  <conditionalFormatting sqref="AY5:AY49">
    <cfRule type="expression" dxfId="63" priority="1">
      <formula>COUNTIF($D5:AY5,"SIM")=1</formula>
    </cfRule>
    <cfRule type="expression" dxfId="62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57DE-5C78-4BD6-8F3E-F629D30EB4E1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117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83</v>
      </c>
      <c r="D7" s="62">
        <v>3</v>
      </c>
      <c r="E7" s="68">
        <v>15</v>
      </c>
      <c r="F7" s="67"/>
      <c r="G7" s="66" t="s">
        <v>65</v>
      </c>
      <c r="H7" s="111" t="s">
        <v>65</v>
      </c>
      <c r="I7" s="110" t="s">
        <v>105</v>
      </c>
      <c r="J7" s="109"/>
      <c r="K7" s="108">
        <v>-1</v>
      </c>
      <c r="L7" s="62">
        <v>15</v>
      </c>
      <c r="M7" s="68">
        <v>1</v>
      </c>
      <c r="N7" s="67">
        <v>0</v>
      </c>
      <c r="O7" s="66" t="s">
        <v>102</v>
      </c>
      <c r="P7" s="62">
        <v>8</v>
      </c>
      <c r="Q7" s="68">
        <v>8</v>
      </c>
      <c r="R7" s="67">
        <v>0</v>
      </c>
      <c r="S7" s="66" t="s">
        <v>65</v>
      </c>
      <c r="T7" s="111">
        <v>10</v>
      </c>
      <c r="U7" s="110" t="s">
        <v>108</v>
      </c>
      <c r="V7" s="109">
        <v>0</v>
      </c>
      <c r="W7" s="108" t="s">
        <v>65</v>
      </c>
      <c r="X7" s="62">
        <v>5</v>
      </c>
      <c r="Y7" s="68">
        <v>11</v>
      </c>
      <c r="Z7" s="67">
        <v>0</v>
      </c>
      <c r="AA7" s="66" t="s">
        <v>65</v>
      </c>
      <c r="AB7" s="62">
        <v>5</v>
      </c>
      <c r="AC7" s="68">
        <v>11</v>
      </c>
      <c r="AD7" s="67">
        <v>0</v>
      </c>
      <c r="AE7" s="66"/>
      <c r="AF7" s="62">
        <v>2</v>
      </c>
      <c r="AG7" s="68">
        <v>17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2</v>
      </c>
      <c r="BE7" s="4">
        <v>0</v>
      </c>
      <c r="BF7" s="4">
        <v>0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95</v>
      </c>
      <c r="C8" s="72">
        <v>81</v>
      </c>
      <c r="D8" s="62">
        <v>4</v>
      </c>
      <c r="E8" s="68">
        <v>13</v>
      </c>
      <c r="F8" s="67"/>
      <c r="G8" s="66" t="s">
        <v>65</v>
      </c>
      <c r="H8" s="62">
        <v>1</v>
      </c>
      <c r="I8" s="68">
        <v>20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8</v>
      </c>
      <c r="U8" s="68">
        <v>8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62">
        <v>7</v>
      </c>
      <c r="AC8" s="68">
        <v>9</v>
      </c>
      <c r="AD8" s="67">
        <v>0</v>
      </c>
      <c r="AE8" s="66" t="s">
        <v>65</v>
      </c>
      <c r="AF8" s="62">
        <v>10</v>
      </c>
      <c r="AG8" s="68">
        <v>6</v>
      </c>
      <c r="AH8" s="67">
        <v>0</v>
      </c>
      <c r="AI8" s="6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1</v>
      </c>
      <c r="BD8" s="4">
        <v>0</v>
      </c>
      <c r="BE8" s="4">
        <v>1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81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83</v>
      </c>
      <c r="C10" s="72">
        <v>79</v>
      </c>
      <c r="D10" s="111" t="s">
        <v>65</v>
      </c>
      <c r="E10" s="110" t="s">
        <v>105</v>
      </c>
      <c r="F10" s="109"/>
      <c r="G10" s="108" t="s">
        <v>65</v>
      </c>
      <c r="H10" s="111" t="s">
        <v>65</v>
      </c>
      <c r="I10" s="110" t="s">
        <v>105</v>
      </c>
      <c r="J10" s="109"/>
      <c r="K10" s="108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2</v>
      </c>
      <c r="Q10" s="68">
        <v>17</v>
      </c>
      <c r="R10" s="67">
        <v>1</v>
      </c>
      <c r="S10" s="66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107" t="s">
        <v>65</v>
      </c>
      <c r="AB10" s="62">
        <v>9</v>
      </c>
      <c r="AC10" s="68">
        <v>7</v>
      </c>
      <c r="AD10" s="67">
        <v>1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2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2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79</v>
      </c>
      <c r="D11" s="62">
        <v>15</v>
      </c>
      <c r="E11" s="68">
        <v>1</v>
      </c>
      <c r="F11" s="67"/>
      <c r="G11" s="66" t="s">
        <v>102</v>
      </c>
      <c r="H11" s="111" t="s">
        <v>65</v>
      </c>
      <c r="I11" s="110" t="s">
        <v>105</v>
      </c>
      <c r="J11" s="109"/>
      <c r="K11" s="108">
        <v>-1</v>
      </c>
      <c r="L11" s="62">
        <v>2</v>
      </c>
      <c r="M11" s="68">
        <v>17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2</v>
      </c>
      <c r="U11" s="68">
        <v>17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>
        <v>4</v>
      </c>
      <c r="AK11" s="68">
        <v>13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56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86</v>
      </c>
      <c r="C15" s="72">
        <v>55</v>
      </c>
      <c r="D15" s="62">
        <v>0</v>
      </c>
      <c r="E15" s="68">
        <v>0</v>
      </c>
      <c r="F15" s="67"/>
      <c r="G15" s="66" t="s">
        <v>65</v>
      </c>
      <c r="H15" s="111" t="s">
        <v>65</v>
      </c>
      <c r="I15" s="110" t="s">
        <v>105</v>
      </c>
      <c r="J15" s="109"/>
      <c r="K15" s="108">
        <v>-3</v>
      </c>
      <c r="L15" s="62">
        <v>11</v>
      </c>
      <c r="M15" s="68">
        <v>5</v>
      </c>
      <c r="N15" s="67">
        <v>0</v>
      </c>
      <c r="O15" s="66" t="s">
        <v>65</v>
      </c>
      <c r="P15" s="62">
        <v>6</v>
      </c>
      <c r="Q15" s="68">
        <v>10</v>
      </c>
      <c r="R15" s="67">
        <v>0</v>
      </c>
      <c r="S15" s="66" t="s">
        <v>65</v>
      </c>
      <c r="T15" s="62">
        <v>1</v>
      </c>
      <c r="U15" s="68">
        <v>20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>
        <v>-1</v>
      </c>
      <c r="AB15" s="62">
        <v>3</v>
      </c>
      <c r="AC15" s="68">
        <v>15</v>
      </c>
      <c r="AD15" s="67">
        <v>0</v>
      </c>
      <c r="AE15" s="66" t="s">
        <v>65</v>
      </c>
      <c r="AF15" s="62">
        <v>6</v>
      </c>
      <c r="AG15" s="68">
        <v>10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1</v>
      </c>
      <c r="BC15" s="4">
        <v>0</v>
      </c>
      <c r="BD15" s="4">
        <v>0</v>
      </c>
      <c r="BE15" s="4">
        <v>2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53</v>
      </c>
      <c r="D16" s="111" t="s">
        <v>65</v>
      </c>
      <c r="E16" s="110" t="s">
        <v>105</v>
      </c>
      <c r="F16" s="109"/>
      <c r="G16" s="108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1" t="s">
        <v>65</v>
      </c>
      <c r="Q16" s="110" t="s">
        <v>105</v>
      </c>
      <c r="R16" s="109" t="s">
        <v>65</v>
      </c>
      <c r="S16" s="108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>
        <v>1</v>
      </c>
      <c r="AC16" s="68">
        <v>20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1" priority="59" stopIfTrue="1"/>
  </conditionalFormatting>
  <conditionalFormatting sqref="B5:B49">
    <cfRule type="duplicateValues" dxfId="60" priority="58"/>
  </conditionalFormatting>
  <conditionalFormatting sqref="H49">
    <cfRule type="duplicateValues" dxfId="59" priority="57" stopIfTrue="1"/>
  </conditionalFormatting>
  <conditionalFormatting sqref="AE49">
    <cfRule type="expression" dxfId="58" priority="55">
      <formula>COUNTIF($D49:AE49,"SIM")=1</formula>
    </cfRule>
    <cfRule type="expression" dxfId="57" priority="56">
      <formula>COUNTIF($D49:AE49,"SIM")&gt;=2</formula>
    </cfRule>
  </conditionalFormatting>
  <conditionalFormatting sqref="W49">
    <cfRule type="expression" dxfId="56" priority="53">
      <formula>COUNTIF($D49:W49,"SIM")=1</formula>
    </cfRule>
    <cfRule type="expression" dxfId="55" priority="54">
      <formula>COUNTIF($D49:W49,"SIM")&gt;=2</formula>
    </cfRule>
  </conditionalFormatting>
  <conditionalFormatting sqref="W35:W48">
    <cfRule type="expression" dxfId="54" priority="51">
      <formula>COUNTIF($D35:W35,"SIM")=1</formula>
    </cfRule>
    <cfRule type="expression" dxfId="53" priority="52">
      <formula>COUNTIF($D35:W35,"SIM")&gt;=2</formula>
    </cfRule>
  </conditionalFormatting>
  <conditionalFormatting sqref="W38">
    <cfRule type="expression" dxfId="52" priority="49">
      <formula>COUNTIF($D38:W38,"SIM")=1</formula>
    </cfRule>
    <cfRule type="expression" dxfId="51" priority="50">
      <formula>COUNTIF($D38:W38,"SIM")&gt;=2</formula>
    </cfRule>
  </conditionalFormatting>
  <conditionalFormatting sqref="AA5:AA49">
    <cfRule type="expression" dxfId="50" priority="47">
      <formula>COUNTIF($D5:AA5,"SIM")=1</formula>
    </cfRule>
    <cfRule type="expression" dxfId="49" priority="48">
      <formula>COUNTIF($D5:AA5,"SIM")&gt;=2</formula>
    </cfRule>
  </conditionalFormatting>
  <conditionalFormatting sqref="AE5:AE20">
    <cfRule type="expression" dxfId="48" priority="45">
      <formula>COUNTIF($D5:AE5,"SIM")=1</formula>
    </cfRule>
    <cfRule type="expression" dxfId="47" priority="46">
      <formula>COUNTIF($D5:AE5,"SIM")&gt;=2</formula>
    </cfRule>
  </conditionalFormatting>
  <conditionalFormatting sqref="AI5:AI49">
    <cfRule type="expression" dxfId="46" priority="43">
      <formula>COUNTIF($D5:AI5,"SIM")=1</formula>
    </cfRule>
    <cfRule type="expression" dxfId="45" priority="44">
      <formula>COUNTIF($D5:AI5,"SIM")&gt;=2</formula>
    </cfRule>
  </conditionalFormatting>
  <conditionalFormatting sqref="L49">
    <cfRule type="duplicateValues" dxfId="44" priority="42" stopIfTrue="1"/>
  </conditionalFormatting>
  <conditionalFormatting sqref="P49">
    <cfRule type="duplicateValues" dxfId="43" priority="41" stopIfTrue="1"/>
  </conditionalFormatting>
  <conditionalFormatting sqref="T49">
    <cfRule type="duplicateValues" dxfId="42" priority="40" stopIfTrue="1"/>
  </conditionalFormatting>
  <conditionalFormatting sqref="X49">
    <cfRule type="duplicateValues" dxfId="41" priority="39" stopIfTrue="1"/>
  </conditionalFormatting>
  <conditionalFormatting sqref="AB49">
    <cfRule type="duplicateValues" dxfId="40" priority="38" stopIfTrue="1"/>
  </conditionalFormatting>
  <conditionalFormatting sqref="AJ49">
    <cfRule type="duplicateValues" dxfId="39" priority="37" stopIfTrue="1"/>
  </conditionalFormatting>
  <conditionalFormatting sqref="AN49">
    <cfRule type="duplicateValues" dxfId="38" priority="36" stopIfTrue="1"/>
  </conditionalFormatting>
  <conditionalFormatting sqref="AR49">
    <cfRule type="duplicateValues" dxfId="37" priority="35" stopIfTrue="1"/>
  </conditionalFormatting>
  <conditionalFormatting sqref="AV49">
    <cfRule type="duplicateValues" dxfId="36" priority="34" stopIfTrue="1"/>
  </conditionalFormatting>
  <conditionalFormatting sqref="H5:H48">
    <cfRule type="duplicateValues" dxfId="35" priority="33" stopIfTrue="1"/>
  </conditionalFormatting>
  <conditionalFormatting sqref="L5:L48">
    <cfRule type="duplicateValues" dxfId="34" priority="32" stopIfTrue="1"/>
  </conditionalFormatting>
  <conditionalFormatting sqref="P5:P48">
    <cfRule type="duplicateValues" dxfId="33" priority="31" stopIfTrue="1"/>
  </conditionalFormatting>
  <conditionalFormatting sqref="T5:T48">
    <cfRule type="duplicateValues" dxfId="32" priority="30" stopIfTrue="1"/>
  </conditionalFormatting>
  <conditionalFormatting sqref="W34">
    <cfRule type="expression" dxfId="31" priority="28">
      <formula>COUNTIF($D34:W34,"SIM")=1</formula>
    </cfRule>
    <cfRule type="expression" dxfId="30" priority="29">
      <formula>COUNTIF($D34:W34,"SIM")&gt;=2</formula>
    </cfRule>
  </conditionalFormatting>
  <conditionalFormatting sqref="X5:X48">
    <cfRule type="duplicateValues" dxfId="29" priority="27" stopIfTrue="1"/>
  </conditionalFormatting>
  <conditionalFormatting sqref="W5:W33">
    <cfRule type="expression" dxfId="28" priority="25">
      <formula>COUNTIF($D5:W5,"SIM")=1</formula>
    </cfRule>
    <cfRule type="expression" dxfId="27" priority="26">
      <formula>COUNTIF($D5:W5,"SIM")&gt;=2</formula>
    </cfRule>
  </conditionalFormatting>
  <conditionalFormatting sqref="S5:S49">
    <cfRule type="expression" dxfId="26" priority="23">
      <formula>COUNTIF($D5:S5,"SIM")=1</formula>
    </cfRule>
    <cfRule type="expression" dxfId="25" priority="24">
      <formula>COUNTIF($D5:S5,"SIM")&gt;=2</formula>
    </cfRule>
  </conditionalFormatting>
  <conditionalFormatting sqref="O5:O49">
    <cfRule type="expression" dxfId="24" priority="21">
      <formula>COUNTIF($D5:O5,"SIM")=1</formula>
    </cfRule>
    <cfRule type="expression" dxfId="23" priority="22">
      <formula>COUNTIF($D5:O5,"SIM")&gt;=2</formula>
    </cfRule>
  </conditionalFormatting>
  <conditionalFormatting sqref="K5:K49">
    <cfRule type="expression" dxfId="22" priority="19">
      <formula>COUNTIF($D5:K5,"SIM")=1</formula>
    </cfRule>
    <cfRule type="expression" dxfId="21" priority="20">
      <formula>COUNTIF($D5:K5,"SIM")&gt;=2</formula>
    </cfRule>
  </conditionalFormatting>
  <conditionalFormatting sqref="G5:G49">
    <cfRule type="expression" dxfId="20" priority="17">
      <formula>COUNTIF($D5:G5,"SIM")=1</formula>
    </cfRule>
    <cfRule type="expression" dxfId="19" priority="18">
      <formula>COUNTIF($D5:G5,"SIM")&gt;=2</formula>
    </cfRule>
  </conditionalFormatting>
  <conditionalFormatting sqref="AB5:AB48">
    <cfRule type="duplicateValues" dxfId="18" priority="16" stopIfTrue="1"/>
  </conditionalFormatting>
  <conditionalFormatting sqref="AE21:AE48">
    <cfRule type="expression" dxfId="17" priority="14">
      <formula>COUNTIF($D21:AE21,"SIM")=1</formula>
    </cfRule>
    <cfRule type="expression" dxfId="16" priority="15">
      <formula>COUNTIF($D21:AE21,"SIM")&gt;=2</formula>
    </cfRule>
  </conditionalFormatting>
  <conditionalFormatting sqref="AF5:AF49">
    <cfRule type="duplicateValues" dxfId="15" priority="13" stopIfTrue="1"/>
  </conditionalFormatting>
  <conditionalFormatting sqref="AJ5:AJ48">
    <cfRule type="duplicateValues" dxfId="14" priority="12" stopIfTrue="1"/>
  </conditionalFormatting>
  <conditionalFormatting sqref="AM5:AM49">
    <cfRule type="expression" dxfId="13" priority="10">
      <formula>COUNTIF($D5:AM5,"SIM")=1</formula>
    </cfRule>
    <cfRule type="expression" dxfId="12" priority="11">
      <formula>COUNTIF($D5:AM5,"SIM")&gt;=2</formula>
    </cfRule>
  </conditionalFormatting>
  <conditionalFormatting sqref="AN5:AN48">
    <cfRule type="duplicateValues" dxfId="11" priority="9" stopIfTrue="1"/>
  </conditionalFormatting>
  <conditionalFormatting sqref="AQ5:AQ49">
    <cfRule type="expression" dxfId="10" priority="7">
      <formula>COUNTIF($D5:AQ5,"SIM")=1</formula>
    </cfRule>
    <cfRule type="expression" dxfId="9" priority="8">
      <formula>COUNTIF($D5:AQ5,"SIM")&gt;=2</formula>
    </cfRule>
  </conditionalFormatting>
  <conditionalFormatting sqref="AR5:AR48">
    <cfRule type="duplicateValues" dxfId="8" priority="6" stopIfTrue="1"/>
  </conditionalFormatting>
  <conditionalFormatting sqref="AU5:AU49">
    <cfRule type="expression" dxfId="7" priority="4">
      <formula>COUNTIF($D5:AU5,"SIM")=1</formula>
    </cfRule>
    <cfRule type="expression" dxfId="6" priority="5">
      <formula>COUNTIF($D5:AU5,"SIM")&gt;=2</formula>
    </cfRule>
  </conditionalFormatting>
  <conditionalFormatting sqref="AV5:AV48">
    <cfRule type="duplicateValues" dxfId="5" priority="3" stopIfTrue="1"/>
  </conditionalFormatting>
  <conditionalFormatting sqref="AY5:AY49">
    <cfRule type="expression" dxfId="4" priority="1">
      <formula>COUNTIF($D5:AY5,"SIM")=1</formula>
    </cfRule>
    <cfRule type="expression" dxfId="3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7BE7-D45A-47F3-82EA-3B2F9B7A72C8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8" t="s">
        <v>110</v>
      </c>
      <c r="D1" s="151" t="s">
        <v>99</v>
      </c>
      <c r="E1" s="152"/>
      <c r="F1" s="153" t="s">
        <v>64</v>
      </c>
      <c r="G1" s="156" t="s">
        <v>62</v>
      </c>
      <c r="H1" s="159" t="s">
        <v>63</v>
      </c>
      <c r="I1" s="151" t="s">
        <v>99</v>
      </c>
      <c r="J1" s="152"/>
      <c r="K1" s="153" t="s">
        <v>64</v>
      </c>
      <c r="L1" s="156" t="s">
        <v>62</v>
      </c>
      <c r="M1" s="159" t="s">
        <v>63</v>
      </c>
      <c r="N1" s="151" t="s">
        <v>99</v>
      </c>
      <c r="O1" s="152"/>
      <c r="P1" s="153" t="s">
        <v>64</v>
      </c>
      <c r="Q1" s="156" t="s">
        <v>62</v>
      </c>
      <c r="R1" s="159" t="s">
        <v>63</v>
      </c>
      <c r="S1" s="151" t="s">
        <v>99</v>
      </c>
      <c r="T1" s="152"/>
      <c r="U1" s="153" t="s">
        <v>64</v>
      </c>
      <c r="V1" s="156" t="s">
        <v>62</v>
      </c>
      <c r="W1" s="159" t="s">
        <v>63</v>
      </c>
      <c r="X1" s="151" t="s">
        <v>99</v>
      </c>
      <c r="Y1" s="152"/>
      <c r="Z1" s="153" t="s">
        <v>64</v>
      </c>
      <c r="AA1" s="156" t="s">
        <v>62</v>
      </c>
      <c r="AB1" s="159" t="s">
        <v>63</v>
      </c>
      <c r="AC1" s="151" t="s">
        <v>99</v>
      </c>
      <c r="AD1" s="152"/>
      <c r="AE1" s="153" t="s">
        <v>64</v>
      </c>
      <c r="AF1" s="156" t="s">
        <v>62</v>
      </c>
      <c r="AG1" s="159" t="s">
        <v>63</v>
      </c>
      <c r="AH1" s="151" t="s">
        <v>99</v>
      </c>
      <c r="AI1" s="152"/>
      <c r="AJ1" s="153" t="s">
        <v>64</v>
      </c>
      <c r="AK1" s="156" t="s">
        <v>62</v>
      </c>
      <c r="AL1" s="159" t="s">
        <v>63</v>
      </c>
      <c r="AM1" s="151" t="s">
        <v>99</v>
      </c>
      <c r="AN1" s="152"/>
      <c r="AO1" s="153" t="s">
        <v>64</v>
      </c>
      <c r="AP1" s="156" t="s">
        <v>62</v>
      </c>
      <c r="AQ1" s="159" t="s">
        <v>63</v>
      </c>
      <c r="AR1" s="151" t="s">
        <v>99</v>
      </c>
      <c r="AS1" s="152"/>
      <c r="AT1" s="153" t="s">
        <v>64</v>
      </c>
      <c r="AU1" s="156" t="s">
        <v>62</v>
      </c>
      <c r="AV1" s="159" t="s">
        <v>63</v>
      </c>
      <c r="AW1" s="151"/>
      <c r="AX1" s="152"/>
      <c r="AY1" s="153" t="s">
        <v>64</v>
      </c>
      <c r="AZ1" s="156" t="s">
        <v>62</v>
      </c>
      <c r="BA1" s="159" t="s">
        <v>63</v>
      </c>
      <c r="BB1" s="151"/>
      <c r="BC1" s="152"/>
      <c r="BD1" s="153" t="s">
        <v>64</v>
      </c>
      <c r="BE1" s="156" t="s">
        <v>62</v>
      </c>
      <c r="BF1" s="159" t="s">
        <v>63</v>
      </c>
      <c r="BG1" s="151"/>
      <c r="BH1" s="152"/>
      <c r="BI1" s="153" t="s">
        <v>64</v>
      </c>
      <c r="BJ1" s="156" t="s">
        <v>62</v>
      </c>
      <c r="BK1" s="159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49"/>
      <c r="C2" s="93"/>
      <c r="D2" s="164" t="s">
        <v>16</v>
      </c>
      <c r="E2" s="165"/>
      <c r="F2" s="154"/>
      <c r="G2" s="157"/>
      <c r="H2" s="160"/>
      <c r="I2" s="164" t="s">
        <v>15</v>
      </c>
      <c r="J2" s="165"/>
      <c r="K2" s="154"/>
      <c r="L2" s="157"/>
      <c r="M2" s="160"/>
      <c r="N2" s="164" t="s">
        <v>14</v>
      </c>
      <c r="O2" s="165"/>
      <c r="P2" s="154"/>
      <c r="Q2" s="157"/>
      <c r="R2" s="160"/>
      <c r="S2" s="164" t="s">
        <v>13</v>
      </c>
      <c r="T2" s="165"/>
      <c r="U2" s="154"/>
      <c r="V2" s="157"/>
      <c r="W2" s="160"/>
      <c r="X2" s="164" t="s">
        <v>12</v>
      </c>
      <c r="Y2" s="165"/>
      <c r="Z2" s="154"/>
      <c r="AA2" s="157"/>
      <c r="AB2" s="160"/>
      <c r="AC2" s="164" t="s">
        <v>11</v>
      </c>
      <c r="AD2" s="165"/>
      <c r="AE2" s="154"/>
      <c r="AF2" s="157"/>
      <c r="AG2" s="160"/>
      <c r="AH2" s="164" t="s">
        <v>10</v>
      </c>
      <c r="AI2" s="165"/>
      <c r="AJ2" s="154"/>
      <c r="AK2" s="157"/>
      <c r="AL2" s="160"/>
      <c r="AM2" s="164" t="s">
        <v>9</v>
      </c>
      <c r="AN2" s="165"/>
      <c r="AO2" s="154"/>
      <c r="AP2" s="157"/>
      <c r="AQ2" s="160"/>
      <c r="AR2" s="164" t="s">
        <v>8</v>
      </c>
      <c r="AS2" s="165"/>
      <c r="AT2" s="154"/>
      <c r="AU2" s="157"/>
      <c r="AV2" s="160"/>
      <c r="AW2" s="164" t="s">
        <v>7</v>
      </c>
      <c r="AX2" s="165"/>
      <c r="AY2" s="154"/>
      <c r="AZ2" s="157"/>
      <c r="BA2" s="160"/>
      <c r="BB2" s="164" t="s">
        <v>6</v>
      </c>
      <c r="BC2" s="165"/>
      <c r="BD2" s="154"/>
      <c r="BE2" s="157"/>
      <c r="BF2" s="160"/>
      <c r="BG2" s="164" t="s">
        <v>5</v>
      </c>
      <c r="BH2" s="165"/>
      <c r="BI2" s="154"/>
      <c r="BJ2" s="157"/>
      <c r="BK2" s="160"/>
    </row>
    <row r="3" spans="1:77" s="91" customFormat="1" ht="15.75" customHeight="1" thickBot="1" x14ac:dyDescent="0.3">
      <c r="A3" s="149"/>
      <c r="C3" s="93"/>
      <c r="D3" s="162">
        <f>TABELA!D3</f>
        <v>46061</v>
      </c>
      <c r="E3" s="163"/>
      <c r="F3" s="154"/>
      <c r="G3" s="157"/>
      <c r="H3" s="160"/>
      <c r="I3" s="162">
        <v>46093</v>
      </c>
      <c r="J3" s="163"/>
      <c r="K3" s="154"/>
      <c r="L3" s="157"/>
      <c r="M3" s="160"/>
      <c r="N3" s="162">
        <v>46128</v>
      </c>
      <c r="O3" s="163"/>
      <c r="P3" s="154"/>
      <c r="Q3" s="157"/>
      <c r="R3" s="160"/>
      <c r="S3" s="162">
        <v>46142</v>
      </c>
      <c r="T3" s="163"/>
      <c r="U3" s="154"/>
      <c r="V3" s="157"/>
      <c r="W3" s="160"/>
      <c r="X3" s="162">
        <v>46156</v>
      </c>
      <c r="Y3" s="163"/>
      <c r="Z3" s="154"/>
      <c r="AA3" s="157"/>
      <c r="AB3" s="160"/>
      <c r="AC3" s="162">
        <v>46198</v>
      </c>
      <c r="AD3" s="163"/>
      <c r="AE3" s="154"/>
      <c r="AF3" s="157"/>
      <c r="AG3" s="160"/>
      <c r="AH3" s="162">
        <v>46212</v>
      </c>
      <c r="AI3" s="163"/>
      <c r="AJ3" s="154"/>
      <c r="AK3" s="157"/>
      <c r="AL3" s="160"/>
      <c r="AM3" s="162">
        <v>46247</v>
      </c>
      <c r="AN3" s="163"/>
      <c r="AO3" s="154"/>
      <c r="AP3" s="157"/>
      <c r="AQ3" s="160"/>
      <c r="AR3" s="162">
        <v>46275</v>
      </c>
      <c r="AS3" s="163"/>
      <c r="AT3" s="154"/>
      <c r="AU3" s="157"/>
      <c r="AV3" s="160"/>
      <c r="AW3" s="162"/>
      <c r="AX3" s="163"/>
      <c r="AY3" s="154"/>
      <c r="AZ3" s="157"/>
      <c r="BA3" s="160"/>
      <c r="BB3" s="162"/>
      <c r="BC3" s="163"/>
      <c r="BD3" s="154"/>
      <c r="BE3" s="157"/>
      <c r="BF3" s="160"/>
      <c r="BG3" s="162"/>
      <c r="BH3" s="163"/>
      <c r="BI3" s="154"/>
      <c r="BJ3" s="157"/>
      <c r="BK3" s="160"/>
    </row>
    <row r="4" spans="1:77" s="91" customFormat="1" ht="48.75" customHeight="1" thickBot="1" x14ac:dyDescent="0.3">
      <c r="A4" s="150"/>
      <c r="B4" s="92" t="s">
        <v>4</v>
      </c>
      <c r="C4" s="92"/>
      <c r="D4" s="96" t="s">
        <v>2</v>
      </c>
      <c r="E4" s="95" t="s">
        <v>3</v>
      </c>
      <c r="F4" s="155"/>
      <c r="G4" s="158"/>
      <c r="H4" s="161"/>
      <c r="I4" s="96" t="s">
        <v>2</v>
      </c>
      <c r="J4" s="95" t="s">
        <v>3</v>
      </c>
      <c r="K4" s="155"/>
      <c r="L4" s="158"/>
      <c r="M4" s="161"/>
      <c r="N4" s="96" t="s">
        <v>2</v>
      </c>
      <c r="O4" s="95" t="s">
        <v>3</v>
      </c>
      <c r="P4" s="155"/>
      <c r="Q4" s="158"/>
      <c r="R4" s="161"/>
      <c r="S4" s="96" t="s">
        <v>2</v>
      </c>
      <c r="T4" s="95" t="s">
        <v>3</v>
      </c>
      <c r="U4" s="155"/>
      <c r="V4" s="158"/>
      <c r="W4" s="161"/>
      <c r="X4" s="96" t="s">
        <v>2</v>
      </c>
      <c r="Y4" s="95" t="s">
        <v>3</v>
      </c>
      <c r="Z4" s="155"/>
      <c r="AA4" s="158"/>
      <c r="AB4" s="161"/>
      <c r="AC4" s="96" t="s">
        <v>2</v>
      </c>
      <c r="AD4" s="95" t="s">
        <v>3</v>
      </c>
      <c r="AE4" s="155"/>
      <c r="AF4" s="158"/>
      <c r="AG4" s="161"/>
      <c r="AH4" s="96" t="s">
        <v>2</v>
      </c>
      <c r="AI4" s="95" t="s">
        <v>3</v>
      </c>
      <c r="AJ4" s="155"/>
      <c r="AK4" s="158"/>
      <c r="AL4" s="161"/>
      <c r="AM4" s="96" t="s">
        <v>2</v>
      </c>
      <c r="AN4" s="95" t="s">
        <v>3</v>
      </c>
      <c r="AO4" s="155"/>
      <c r="AP4" s="158"/>
      <c r="AQ4" s="161"/>
      <c r="AR4" s="96" t="s">
        <v>2</v>
      </c>
      <c r="AS4" s="95" t="s">
        <v>3</v>
      </c>
      <c r="AT4" s="155"/>
      <c r="AU4" s="158"/>
      <c r="AV4" s="161"/>
      <c r="AW4" s="96" t="s">
        <v>2</v>
      </c>
      <c r="AX4" s="95" t="s">
        <v>3</v>
      </c>
      <c r="AY4" s="155"/>
      <c r="AZ4" s="158"/>
      <c r="BA4" s="161"/>
      <c r="BB4" s="96" t="s">
        <v>2</v>
      </c>
      <c r="BC4" s="95" t="s">
        <v>3</v>
      </c>
      <c r="BD4" s="155"/>
      <c r="BE4" s="158"/>
      <c r="BF4" s="161"/>
      <c r="BG4" s="96" t="s">
        <v>2</v>
      </c>
      <c r="BH4" s="95" t="s">
        <v>3</v>
      </c>
      <c r="BI4" s="155"/>
      <c r="BJ4" s="158"/>
      <c r="BK4" s="161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2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2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1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1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50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98</v>
      </c>
      <c r="AI6" s="51">
        <v>76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89</v>
      </c>
      <c r="AO6" s="4">
        <f t="shared" ref="AO6:AO49" si="14">AN$5-AN6</f>
        <v>11</v>
      </c>
      <c r="AP6" s="4" t="s">
        <v>61</v>
      </c>
      <c r="AQ6" s="4">
        <f t="shared" ref="AQ6:AQ49" si="15">AN5-AN6</f>
        <v>11</v>
      </c>
      <c r="AR6" s="104" t="s">
        <v>98</v>
      </c>
      <c r="AS6" s="51">
        <v>102</v>
      </c>
      <c r="AT6" s="4">
        <f t="shared" ref="AT6:AT49" si="16">AS$5-AS6</f>
        <v>15</v>
      </c>
      <c r="AU6" s="4" t="s">
        <v>61</v>
      </c>
      <c r="AV6" s="4">
        <f t="shared" ref="AV6:AV49" si="17">AS5-AS6</f>
        <v>15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96</v>
      </c>
      <c r="C7" s="14">
        <v>3</v>
      </c>
      <c r="D7" s="103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1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1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4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83</v>
      </c>
      <c r="AI7" s="51">
        <v>72</v>
      </c>
      <c r="AJ7" s="4">
        <f t="shared" si="12"/>
        <v>8</v>
      </c>
      <c r="AK7" s="4" t="s">
        <v>61</v>
      </c>
      <c r="AL7" s="4">
        <f t="shared" si="13"/>
        <v>4</v>
      </c>
      <c r="AM7" s="50" t="s">
        <v>83</v>
      </c>
      <c r="AN7" s="51">
        <v>79</v>
      </c>
      <c r="AO7" s="4">
        <f t="shared" si="14"/>
        <v>21</v>
      </c>
      <c r="AP7" s="4" t="s">
        <v>61</v>
      </c>
      <c r="AQ7" s="4">
        <f t="shared" si="15"/>
        <v>10</v>
      </c>
      <c r="AR7" s="103" t="s">
        <v>96</v>
      </c>
      <c r="AS7" s="51">
        <v>83</v>
      </c>
      <c r="AT7" s="4">
        <f t="shared" si="16"/>
        <v>34</v>
      </c>
      <c r="AU7" s="4" t="s">
        <v>61</v>
      </c>
      <c r="AV7" s="4">
        <f t="shared" si="17"/>
        <v>19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95</v>
      </c>
      <c r="C8" s="14">
        <v>4</v>
      </c>
      <c r="D8" s="102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2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2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1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101" t="s">
        <v>97</v>
      </c>
      <c r="AI8" s="51">
        <v>65</v>
      </c>
      <c r="AJ8" s="4">
        <f t="shared" si="12"/>
        <v>15</v>
      </c>
      <c r="AK8" s="4" t="s">
        <v>61</v>
      </c>
      <c r="AL8" s="4">
        <f t="shared" si="13"/>
        <v>7</v>
      </c>
      <c r="AM8" s="101" t="s">
        <v>97</v>
      </c>
      <c r="AN8" s="51">
        <v>70</v>
      </c>
      <c r="AO8" s="4">
        <f t="shared" si="14"/>
        <v>30</v>
      </c>
      <c r="AP8" s="4" t="s">
        <v>61</v>
      </c>
      <c r="AQ8" s="4">
        <f t="shared" si="15"/>
        <v>9</v>
      </c>
      <c r="AR8" s="102" t="s">
        <v>95</v>
      </c>
      <c r="AS8" s="51">
        <v>81</v>
      </c>
      <c r="AT8" s="4">
        <f t="shared" si="16"/>
        <v>36</v>
      </c>
      <c r="AU8" s="4" t="s">
        <v>61</v>
      </c>
      <c r="AV8" s="4">
        <f t="shared" si="17"/>
        <v>2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50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50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2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102" t="s">
        <v>95</v>
      </c>
      <c r="AI9" s="51">
        <v>60</v>
      </c>
      <c r="AJ9" s="4">
        <f t="shared" si="12"/>
        <v>20</v>
      </c>
      <c r="AK9" s="4" t="s">
        <v>61</v>
      </c>
      <c r="AL9" s="4">
        <f t="shared" si="13"/>
        <v>5</v>
      </c>
      <c r="AM9" s="102" t="s">
        <v>95</v>
      </c>
      <c r="AN9" s="51">
        <v>66</v>
      </c>
      <c r="AO9" s="4">
        <f t="shared" si="14"/>
        <v>34</v>
      </c>
      <c r="AP9" s="4" t="s">
        <v>61</v>
      </c>
      <c r="AQ9" s="4">
        <f t="shared" si="15"/>
        <v>4</v>
      </c>
      <c r="AR9" s="101" t="s">
        <v>97</v>
      </c>
      <c r="AS9" s="51">
        <v>81</v>
      </c>
      <c r="AT9" s="4">
        <f t="shared" si="16"/>
        <v>36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83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50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50" t="s">
        <v>89</v>
      </c>
      <c r="AI10" s="51">
        <v>55</v>
      </c>
      <c r="AJ10" s="4">
        <f t="shared" si="12"/>
        <v>25</v>
      </c>
      <c r="AK10" s="4">
        <f t="shared" ref="AK10:AK49" si="30">AI$9-AI10</f>
        <v>5</v>
      </c>
      <c r="AL10" s="4">
        <f t="shared" si="13"/>
        <v>5</v>
      </c>
      <c r="AM10" s="50" t="s">
        <v>89</v>
      </c>
      <c r="AN10" s="51">
        <v>66</v>
      </c>
      <c r="AO10" s="4">
        <f t="shared" si="14"/>
        <v>34</v>
      </c>
      <c r="AP10" s="4">
        <f t="shared" ref="AP10:AP49" si="31">AN$9-AN10</f>
        <v>0</v>
      </c>
      <c r="AQ10" s="4">
        <f t="shared" si="15"/>
        <v>0</v>
      </c>
      <c r="AR10" s="50" t="s">
        <v>83</v>
      </c>
      <c r="AS10" s="51">
        <v>79</v>
      </c>
      <c r="AT10" s="4">
        <f t="shared" si="16"/>
        <v>38</v>
      </c>
      <c r="AU10" s="4">
        <f t="shared" ref="AU10:AU49" si="32">AS$9-AS10</f>
        <v>2</v>
      </c>
      <c r="AV10" s="4">
        <f t="shared" si="17"/>
        <v>2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103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 t="s">
        <v>92</v>
      </c>
      <c r="AI11" s="51">
        <v>50</v>
      </c>
      <c r="AJ11" s="4">
        <f t="shared" si="12"/>
        <v>30</v>
      </c>
      <c r="AK11" s="4">
        <f t="shared" si="30"/>
        <v>10</v>
      </c>
      <c r="AL11" s="4">
        <f t="shared" si="13"/>
        <v>5</v>
      </c>
      <c r="AM11" s="103" t="s">
        <v>96</v>
      </c>
      <c r="AN11" s="51">
        <v>62</v>
      </c>
      <c r="AO11" s="4">
        <f t="shared" si="14"/>
        <v>38</v>
      </c>
      <c r="AP11" s="4">
        <f t="shared" si="31"/>
        <v>4</v>
      </c>
      <c r="AQ11" s="4">
        <f t="shared" si="15"/>
        <v>4</v>
      </c>
      <c r="AR11" s="50" t="s">
        <v>89</v>
      </c>
      <c r="AS11" s="51">
        <v>79</v>
      </c>
      <c r="AT11" s="4">
        <f t="shared" si="16"/>
        <v>38</v>
      </c>
      <c r="AU11" s="4">
        <f t="shared" si="32"/>
        <v>2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 t="s">
        <v>86</v>
      </c>
      <c r="AI12" s="51">
        <v>46</v>
      </c>
      <c r="AJ12" s="4">
        <f t="shared" si="12"/>
        <v>34</v>
      </c>
      <c r="AK12" s="4">
        <f t="shared" si="30"/>
        <v>14</v>
      </c>
      <c r="AL12" s="4">
        <f t="shared" si="13"/>
        <v>4</v>
      </c>
      <c r="AM12" s="50" t="s">
        <v>92</v>
      </c>
      <c r="AN12" s="51">
        <v>59</v>
      </c>
      <c r="AO12" s="4">
        <f t="shared" si="14"/>
        <v>41</v>
      </c>
      <c r="AP12" s="4">
        <f t="shared" si="31"/>
        <v>7</v>
      </c>
      <c r="AQ12" s="4">
        <f t="shared" si="15"/>
        <v>3</v>
      </c>
      <c r="AR12" s="50" t="s">
        <v>92</v>
      </c>
      <c r="AS12" s="51">
        <v>59</v>
      </c>
      <c r="AT12" s="4">
        <f t="shared" si="16"/>
        <v>58</v>
      </c>
      <c r="AU12" s="4">
        <f t="shared" si="32"/>
        <v>22</v>
      </c>
      <c r="AV12" s="4">
        <f t="shared" si="17"/>
        <v>20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50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103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50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103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 t="s">
        <v>103</v>
      </c>
      <c r="AI13" s="51">
        <v>46</v>
      </c>
      <c r="AJ13" s="4">
        <f t="shared" si="12"/>
        <v>34</v>
      </c>
      <c r="AK13" s="4">
        <f t="shared" si="30"/>
        <v>14</v>
      </c>
      <c r="AL13" s="4">
        <f t="shared" si="13"/>
        <v>0</v>
      </c>
      <c r="AM13" s="50" t="s">
        <v>84</v>
      </c>
      <c r="AN13" s="51">
        <v>57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84</v>
      </c>
      <c r="AS13" s="51">
        <v>57</v>
      </c>
      <c r="AT13" s="4">
        <f t="shared" si="16"/>
        <v>60</v>
      </c>
      <c r="AU13" s="4">
        <f t="shared" si="32"/>
        <v>24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103" t="s">
        <v>96</v>
      </c>
      <c r="AI14" s="51">
        <v>45</v>
      </c>
      <c r="AJ14" s="4">
        <f t="shared" si="12"/>
        <v>35</v>
      </c>
      <c r="AK14" s="4">
        <f t="shared" si="30"/>
        <v>15</v>
      </c>
      <c r="AL14" s="4">
        <f t="shared" si="13"/>
        <v>1</v>
      </c>
      <c r="AM14" s="50" t="s">
        <v>86</v>
      </c>
      <c r="AN14" s="51">
        <v>56</v>
      </c>
      <c r="AO14" s="4">
        <f t="shared" si="14"/>
        <v>44</v>
      </c>
      <c r="AP14" s="4">
        <f t="shared" si="31"/>
        <v>10</v>
      </c>
      <c r="AQ14" s="4">
        <f t="shared" si="15"/>
        <v>1</v>
      </c>
      <c r="AR14" s="50" t="s">
        <v>88</v>
      </c>
      <c r="AS14" s="51">
        <v>56</v>
      </c>
      <c r="AT14" s="4">
        <f t="shared" si="16"/>
        <v>61</v>
      </c>
      <c r="AU14" s="4">
        <f t="shared" si="32"/>
        <v>25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86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103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103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 t="s">
        <v>84</v>
      </c>
      <c r="AI15" s="51">
        <v>44</v>
      </c>
      <c r="AJ15" s="4">
        <f t="shared" si="12"/>
        <v>36</v>
      </c>
      <c r="AK15" s="4">
        <f t="shared" si="30"/>
        <v>16</v>
      </c>
      <c r="AL15" s="4">
        <f t="shared" si="13"/>
        <v>1</v>
      </c>
      <c r="AM15" s="50" t="s">
        <v>103</v>
      </c>
      <c r="AN15" s="51">
        <v>54</v>
      </c>
      <c r="AO15" s="4">
        <f t="shared" si="14"/>
        <v>46</v>
      </c>
      <c r="AP15" s="4">
        <f t="shared" si="31"/>
        <v>12</v>
      </c>
      <c r="AQ15" s="4">
        <f t="shared" si="15"/>
        <v>2</v>
      </c>
      <c r="AR15" s="50" t="s">
        <v>86</v>
      </c>
      <c r="AS15" s="51">
        <v>55</v>
      </c>
      <c r="AT15" s="4">
        <f t="shared" si="16"/>
        <v>62</v>
      </c>
      <c r="AU15" s="4">
        <f t="shared" si="32"/>
        <v>26</v>
      </c>
      <c r="AV15" s="4">
        <f t="shared" si="17"/>
        <v>1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50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 t="s">
        <v>91</v>
      </c>
      <c r="AI16" s="51">
        <v>35</v>
      </c>
      <c r="AJ16" s="4">
        <f t="shared" si="12"/>
        <v>45</v>
      </c>
      <c r="AK16" s="4">
        <f t="shared" si="30"/>
        <v>25</v>
      </c>
      <c r="AL16" s="4">
        <f t="shared" si="13"/>
        <v>9</v>
      </c>
      <c r="AM16" s="50" t="s">
        <v>88</v>
      </c>
      <c r="AN16" s="51">
        <v>46</v>
      </c>
      <c r="AO16" s="4">
        <f t="shared" si="14"/>
        <v>54</v>
      </c>
      <c r="AP16" s="4">
        <f t="shared" si="31"/>
        <v>20</v>
      </c>
      <c r="AQ16" s="4">
        <f t="shared" si="15"/>
        <v>8</v>
      </c>
      <c r="AR16" s="50" t="s">
        <v>103</v>
      </c>
      <c r="AS16" s="51">
        <v>53</v>
      </c>
      <c r="AT16" s="4">
        <f t="shared" si="16"/>
        <v>64</v>
      </c>
      <c r="AU16" s="4">
        <f t="shared" si="32"/>
        <v>28</v>
      </c>
      <c r="AV16" s="4">
        <f t="shared" si="17"/>
        <v>2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50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50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 t="s">
        <v>88</v>
      </c>
      <c r="AI17" s="51">
        <v>30</v>
      </c>
      <c r="AJ17" s="4">
        <f t="shared" si="12"/>
        <v>50</v>
      </c>
      <c r="AK17" s="4">
        <f t="shared" si="30"/>
        <v>30</v>
      </c>
      <c r="AL17" s="4">
        <f t="shared" si="13"/>
        <v>5</v>
      </c>
      <c r="AM17" s="50" t="s">
        <v>91</v>
      </c>
      <c r="AN17" s="51">
        <v>39</v>
      </c>
      <c r="AO17" s="4">
        <f t="shared" si="14"/>
        <v>61</v>
      </c>
      <c r="AP17" s="4">
        <f t="shared" si="31"/>
        <v>27</v>
      </c>
      <c r="AQ17" s="4">
        <f t="shared" si="15"/>
        <v>7</v>
      </c>
      <c r="AR17" s="50" t="s">
        <v>91</v>
      </c>
      <c r="AS17" s="51">
        <v>38</v>
      </c>
      <c r="AT17" s="4">
        <f t="shared" si="16"/>
        <v>79</v>
      </c>
      <c r="AU17" s="4">
        <f t="shared" si="32"/>
        <v>43</v>
      </c>
      <c r="AV17" s="4">
        <f t="shared" si="17"/>
        <v>15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 t="s">
        <v>93</v>
      </c>
      <c r="AI18" s="51">
        <v>27</v>
      </c>
      <c r="AJ18" s="4">
        <f t="shared" si="12"/>
        <v>53</v>
      </c>
      <c r="AK18" s="4">
        <f t="shared" si="30"/>
        <v>33</v>
      </c>
      <c r="AL18" s="4">
        <f t="shared" si="13"/>
        <v>3</v>
      </c>
      <c r="AM18" s="50" t="s">
        <v>93</v>
      </c>
      <c r="AN18" s="51">
        <v>26</v>
      </c>
      <c r="AO18" s="4">
        <f t="shared" si="14"/>
        <v>74</v>
      </c>
      <c r="AP18" s="4">
        <f t="shared" si="31"/>
        <v>40</v>
      </c>
      <c r="AQ18" s="4">
        <f t="shared" si="15"/>
        <v>13</v>
      </c>
      <c r="AR18" s="50" t="s">
        <v>93</v>
      </c>
      <c r="AS18" s="51">
        <v>26</v>
      </c>
      <c r="AT18" s="4">
        <f t="shared" si="16"/>
        <v>91</v>
      </c>
      <c r="AU18" s="4">
        <f t="shared" si="32"/>
        <v>55</v>
      </c>
      <c r="AV18" s="4">
        <f t="shared" si="17"/>
        <v>12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 t="s">
        <v>90</v>
      </c>
      <c r="AI19" s="51">
        <v>17</v>
      </c>
      <c r="AJ19" s="4">
        <f t="shared" si="12"/>
        <v>63</v>
      </c>
      <c r="AK19" s="4">
        <f t="shared" si="30"/>
        <v>43</v>
      </c>
      <c r="AL19" s="4">
        <f t="shared" si="13"/>
        <v>10</v>
      </c>
      <c r="AM19" s="50" t="s">
        <v>90</v>
      </c>
      <c r="AN19" s="51">
        <v>16</v>
      </c>
      <c r="AO19" s="4">
        <f t="shared" si="14"/>
        <v>84</v>
      </c>
      <c r="AP19" s="4">
        <f t="shared" si="31"/>
        <v>50</v>
      </c>
      <c r="AQ19" s="4">
        <f t="shared" si="15"/>
        <v>10</v>
      </c>
      <c r="AR19" s="50" t="s">
        <v>90</v>
      </c>
      <c r="AS19" s="51">
        <v>16</v>
      </c>
      <c r="AT19" s="4">
        <f t="shared" si="16"/>
        <v>101</v>
      </c>
      <c r="AU19" s="4">
        <f t="shared" si="32"/>
        <v>65</v>
      </c>
      <c r="AV19" s="4">
        <f t="shared" si="17"/>
        <v>10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50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 t="s">
        <v>104</v>
      </c>
      <c r="AI20" s="51">
        <v>6</v>
      </c>
      <c r="AJ20" s="4">
        <f t="shared" si="12"/>
        <v>74</v>
      </c>
      <c r="AK20" s="4">
        <f t="shared" si="30"/>
        <v>54</v>
      </c>
      <c r="AL20" s="4">
        <f t="shared" si="13"/>
        <v>11</v>
      </c>
      <c r="AM20" s="50" t="s">
        <v>104</v>
      </c>
      <c r="AN20" s="51">
        <v>6</v>
      </c>
      <c r="AO20" s="4">
        <f t="shared" si="14"/>
        <v>94</v>
      </c>
      <c r="AP20" s="4">
        <f t="shared" si="31"/>
        <v>60</v>
      </c>
      <c r="AQ20" s="4">
        <f t="shared" si="15"/>
        <v>10</v>
      </c>
      <c r="AR20" s="50" t="s">
        <v>104</v>
      </c>
      <c r="AS20" s="51">
        <v>6</v>
      </c>
      <c r="AT20" s="4">
        <f t="shared" si="16"/>
        <v>111</v>
      </c>
      <c r="AU20" s="4">
        <f t="shared" si="32"/>
        <v>75</v>
      </c>
      <c r="AV20" s="4">
        <f t="shared" si="17"/>
        <v>10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 t="s">
        <v>87</v>
      </c>
      <c r="AI21" s="51">
        <v>0</v>
      </c>
      <c r="AJ21" s="4">
        <f t="shared" si="12"/>
        <v>80</v>
      </c>
      <c r="AK21" s="4">
        <f t="shared" si="30"/>
        <v>60</v>
      </c>
      <c r="AL21" s="4">
        <f t="shared" si="13"/>
        <v>6</v>
      </c>
      <c r="AM21" s="50" t="s">
        <v>87</v>
      </c>
      <c r="AN21" s="51">
        <v>0</v>
      </c>
      <c r="AO21" s="4">
        <f t="shared" si="14"/>
        <v>100</v>
      </c>
      <c r="AP21" s="4">
        <f t="shared" si="31"/>
        <v>66</v>
      </c>
      <c r="AQ21" s="4">
        <f t="shared" si="15"/>
        <v>6</v>
      </c>
      <c r="AR21" s="50" t="s">
        <v>87</v>
      </c>
      <c r="AS21" s="51">
        <v>0</v>
      </c>
      <c r="AT21" s="4">
        <f t="shared" si="16"/>
        <v>117</v>
      </c>
      <c r="AU21" s="4">
        <f t="shared" si="32"/>
        <v>81</v>
      </c>
      <c r="AV21" s="4">
        <f t="shared" si="17"/>
        <v>6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 t="s">
        <v>82</v>
      </c>
      <c r="AI22" s="51">
        <v>0</v>
      </c>
      <c r="AJ22" s="4">
        <f t="shared" si="12"/>
        <v>80</v>
      </c>
      <c r="AK22" s="4">
        <f t="shared" si="30"/>
        <v>60</v>
      </c>
      <c r="AL22" s="4">
        <f t="shared" si="13"/>
        <v>0</v>
      </c>
      <c r="AM22" s="50" t="s">
        <v>82</v>
      </c>
      <c r="AN22" s="51">
        <v>0</v>
      </c>
      <c r="AO22" s="4">
        <f t="shared" si="14"/>
        <v>100</v>
      </c>
      <c r="AP22" s="4">
        <f t="shared" si="31"/>
        <v>66</v>
      </c>
      <c r="AQ22" s="4">
        <f t="shared" si="15"/>
        <v>0</v>
      </c>
      <c r="AR22" s="50" t="s">
        <v>82</v>
      </c>
      <c r="AS22" s="51">
        <v>0</v>
      </c>
      <c r="AT22" s="4">
        <f t="shared" si="16"/>
        <v>117</v>
      </c>
      <c r="AU22" s="4">
        <f t="shared" si="32"/>
        <v>81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80</v>
      </c>
      <c r="AK23" s="4">
        <f t="shared" si="30"/>
        <v>60</v>
      </c>
      <c r="AL23" s="4">
        <f t="shared" si="13"/>
        <v>0</v>
      </c>
      <c r="AM23" s="50"/>
      <c r="AN23" s="51"/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/>
      <c r="AS23" s="51"/>
      <c r="AT23" s="4">
        <f t="shared" si="16"/>
        <v>117</v>
      </c>
      <c r="AU23" s="4">
        <f t="shared" si="32"/>
        <v>81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80</v>
      </c>
      <c r="AK24" s="4">
        <f t="shared" si="30"/>
        <v>60</v>
      </c>
      <c r="AL24" s="4">
        <f t="shared" si="13"/>
        <v>0</v>
      </c>
      <c r="AM24" s="50"/>
      <c r="AN24" s="51"/>
      <c r="AO24" s="4">
        <f t="shared" si="14"/>
        <v>100</v>
      </c>
      <c r="AP24" s="4">
        <f t="shared" si="31"/>
        <v>66</v>
      </c>
      <c r="AQ24" s="4">
        <f t="shared" si="15"/>
        <v>0</v>
      </c>
      <c r="AR24" s="50"/>
      <c r="AS24" s="51"/>
      <c r="AT24" s="4">
        <f t="shared" si="16"/>
        <v>117</v>
      </c>
      <c r="AU24" s="4">
        <f t="shared" si="32"/>
        <v>81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80</v>
      </c>
      <c r="AK25" s="4">
        <f t="shared" si="30"/>
        <v>60</v>
      </c>
      <c r="AL25" s="4">
        <f t="shared" si="13"/>
        <v>0</v>
      </c>
      <c r="AM25" s="50"/>
      <c r="AN25" s="51"/>
      <c r="AO25" s="4">
        <f t="shared" si="14"/>
        <v>100</v>
      </c>
      <c r="AP25" s="4">
        <f t="shared" si="31"/>
        <v>66</v>
      </c>
      <c r="AQ25" s="4">
        <f t="shared" si="15"/>
        <v>0</v>
      </c>
      <c r="AR25" s="50"/>
      <c r="AS25" s="51"/>
      <c r="AT25" s="4">
        <f t="shared" si="16"/>
        <v>117</v>
      </c>
      <c r="AU25" s="4">
        <f t="shared" si="32"/>
        <v>81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80</v>
      </c>
      <c r="AK26" s="4">
        <f t="shared" si="30"/>
        <v>60</v>
      </c>
      <c r="AL26" s="4">
        <f t="shared" si="13"/>
        <v>0</v>
      </c>
      <c r="AM26" s="50"/>
      <c r="AN26" s="51"/>
      <c r="AO26" s="4">
        <f t="shared" si="14"/>
        <v>100</v>
      </c>
      <c r="AP26" s="4">
        <f t="shared" si="31"/>
        <v>66</v>
      </c>
      <c r="AQ26" s="4">
        <f t="shared" si="15"/>
        <v>0</v>
      </c>
      <c r="AR26" s="50"/>
      <c r="AS26" s="51"/>
      <c r="AT26" s="4">
        <f t="shared" si="16"/>
        <v>117</v>
      </c>
      <c r="AU26" s="4">
        <f t="shared" si="32"/>
        <v>81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80</v>
      </c>
      <c r="AK27" s="4">
        <f t="shared" si="30"/>
        <v>60</v>
      </c>
      <c r="AL27" s="4">
        <f t="shared" si="13"/>
        <v>0</v>
      </c>
      <c r="AM27" s="50"/>
      <c r="AN27" s="51"/>
      <c r="AO27" s="4">
        <f t="shared" si="14"/>
        <v>100</v>
      </c>
      <c r="AP27" s="4">
        <f t="shared" si="31"/>
        <v>66</v>
      </c>
      <c r="AQ27" s="4">
        <f t="shared" si="15"/>
        <v>0</v>
      </c>
      <c r="AR27" s="50"/>
      <c r="AS27" s="51"/>
      <c r="AT27" s="4">
        <f t="shared" si="16"/>
        <v>117</v>
      </c>
      <c r="AU27" s="4">
        <f t="shared" si="32"/>
        <v>81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80</v>
      </c>
      <c r="AK28" s="4">
        <f t="shared" si="30"/>
        <v>60</v>
      </c>
      <c r="AL28" s="4">
        <f t="shared" si="13"/>
        <v>0</v>
      </c>
      <c r="AM28" s="50"/>
      <c r="AN28" s="51"/>
      <c r="AO28" s="4">
        <f t="shared" si="14"/>
        <v>100</v>
      </c>
      <c r="AP28" s="4">
        <f t="shared" si="31"/>
        <v>66</v>
      </c>
      <c r="AQ28" s="4">
        <f t="shared" si="15"/>
        <v>0</v>
      </c>
      <c r="AR28" s="50"/>
      <c r="AS28" s="51"/>
      <c r="AT28" s="4">
        <f t="shared" si="16"/>
        <v>117</v>
      </c>
      <c r="AU28" s="4">
        <f t="shared" si="32"/>
        <v>81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80</v>
      </c>
      <c r="AK29" s="4">
        <f t="shared" si="30"/>
        <v>60</v>
      </c>
      <c r="AL29" s="4">
        <f t="shared" si="13"/>
        <v>0</v>
      </c>
      <c r="AM29" s="50"/>
      <c r="AN29" s="51"/>
      <c r="AO29" s="4">
        <f t="shared" si="14"/>
        <v>100</v>
      </c>
      <c r="AP29" s="4">
        <f t="shared" si="31"/>
        <v>66</v>
      </c>
      <c r="AQ29" s="4">
        <f t="shared" si="15"/>
        <v>0</v>
      </c>
      <c r="AR29" s="50"/>
      <c r="AS29" s="51"/>
      <c r="AT29" s="4">
        <f t="shared" si="16"/>
        <v>117</v>
      </c>
      <c r="AU29" s="4">
        <f t="shared" si="32"/>
        <v>81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80</v>
      </c>
      <c r="AK30" s="4">
        <f t="shared" si="30"/>
        <v>60</v>
      </c>
      <c r="AL30" s="4">
        <f t="shared" si="13"/>
        <v>0</v>
      </c>
      <c r="AM30" s="50"/>
      <c r="AN30" s="51"/>
      <c r="AO30" s="4">
        <f t="shared" si="14"/>
        <v>100</v>
      </c>
      <c r="AP30" s="4">
        <f t="shared" si="31"/>
        <v>66</v>
      </c>
      <c r="AQ30" s="4">
        <f t="shared" si="15"/>
        <v>0</v>
      </c>
      <c r="AR30" s="50"/>
      <c r="AS30" s="51"/>
      <c r="AT30" s="4">
        <f t="shared" si="16"/>
        <v>117</v>
      </c>
      <c r="AU30" s="4">
        <f t="shared" si="32"/>
        <v>81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80</v>
      </c>
      <c r="AK31" s="4">
        <f t="shared" si="30"/>
        <v>60</v>
      </c>
      <c r="AL31" s="4">
        <f t="shared" si="13"/>
        <v>0</v>
      </c>
      <c r="AM31" s="50"/>
      <c r="AN31" s="51"/>
      <c r="AO31" s="4">
        <f t="shared" si="14"/>
        <v>100</v>
      </c>
      <c r="AP31" s="4">
        <f t="shared" si="31"/>
        <v>66</v>
      </c>
      <c r="AQ31" s="4">
        <f t="shared" si="15"/>
        <v>0</v>
      </c>
      <c r="AR31" s="50"/>
      <c r="AS31" s="51"/>
      <c r="AT31" s="4">
        <f t="shared" si="16"/>
        <v>117</v>
      </c>
      <c r="AU31" s="4">
        <f t="shared" si="32"/>
        <v>81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80</v>
      </c>
      <c r="AK32" s="4">
        <f t="shared" si="30"/>
        <v>60</v>
      </c>
      <c r="AL32" s="4">
        <f t="shared" si="13"/>
        <v>0</v>
      </c>
      <c r="AM32" s="50"/>
      <c r="AN32" s="51"/>
      <c r="AO32" s="4">
        <f t="shared" si="14"/>
        <v>100</v>
      </c>
      <c r="AP32" s="4">
        <f t="shared" si="31"/>
        <v>66</v>
      </c>
      <c r="AQ32" s="4">
        <f t="shared" si="15"/>
        <v>0</v>
      </c>
      <c r="AR32" s="50"/>
      <c r="AS32" s="51"/>
      <c r="AT32" s="4">
        <f t="shared" si="16"/>
        <v>117</v>
      </c>
      <c r="AU32" s="4">
        <f t="shared" si="32"/>
        <v>81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80</v>
      </c>
      <c r="AK33" s="4">
        <f t="shared" si="30"/>
        <v>60</v>
      </c>
      <c r="AL33" s="4">
        <f t="shared" si="13"/>
        <v>0</v>
      </c>
      <c r="AM33" s="50"/>
      <c r="AN33" s="51"/>
      <c r="AO33" s="4">
        <f t="shared" si="14"/>
        <v>100</v>
      </c>
      <c r="AP33" s="4">
        <f t="shared" si="31"/>
        <v>66</v>
      </c>
      <c r="AQ33" s="4">
        <f t="shared" si="15"/>
        <v>0</v>
      </c>
      <c r="AR33" s="50"/>
      <c r="AS33" s="51"/>
      <c r="AT33" s="4">
        <f t="shared" si="16"/>
        <v>117</v>
      </c>
      <c r="AU33" s="4">
        <f t="shared" si="32"/>
        <v>81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80</v>
      </c>
      <c r="AK34" s="4">
        <f t="shared" si="30"/>
        <v>60</v>
      </c>
      <c r="AL34" s="4">
        <f t="shared" si="13"/>
        <v>0</v>
      </c>
      <c r="AM34" s="50"/>
      <c r="AN34" s="51"/>
      <c r="AO34" s="4">
        <f t="shared" si="14"/>
        <v>100</v>
      </c>
      <c r="AP34" s="4">
        <f t="shared" si="31"/>
        <v>66</v>
      </c>
      <c r="AQ34" s="4">
        <f t="shared" si="15"/>
        <v>0</v>
      </c>
      <c r="AR34" s="50"/>
      <c r="AS34" s="51"/>
      <c r="AT34" s="4">
        <f t="shared" si="16"/>
        <v>117</v>
      </c>
      <c r="AU34" s="4">
        <f t="shared" si="32"/>
        <v>81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80</v>
      </c>
      <c r="AK35" s="4">
        <f t="shared" si="30"/>
        <v>60</v>
      </c>
      <c r="AL35" s="4">
        <f t="shared" si="13"/>
        <v>0</v>
      </c>
      <c r="AM35" s="50"/>
      <c r="AN35" s="51"/>
      <c r="AO35" s="4">
        <f t="shared" si="14"/>
        <v>100</v>
      </c>
      <c r="AP35" s="4">
        <f t="shared" si="31"/>
        <v>66</v>
      </c>
      <c r="AQ35" s="4">
        <f t="shared" si="15"/>
        <v>0</v>
      </c>
      <c r="AR35" s="50"/>
      <c r="AS35" s="51"/>
      <c r="AT35" s="4">
        <f t="shared" si="16"/>
        <v>117</v>
      </c>
      <c r="AU35" s="4">
        <f t="shared" si="32"/>
        <v>81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80</v>
      </c>
      <c r="AK36" s="4">
        <f t="shared" si="30"/>
        <v>60</v>
      </c>
      <c r="AL36" s="4">
        <f t="shared" si="13"/>
        <v>0</v>
      </c>
      <c r="AM36" s="50"/>
      <c r="AN36" s="51"/>
      <c r="AO36" s="4">
        <f t="shared" si="14"/>
        <v>100</v>
      </c>
      <c r="AP36" s="4">
        <f t="shared" si="31"/>
        <v>66</v>
      </c>
      <c r="AQ36" s="4">
        <f t="shared" si="15"/>
        <v>0</v>
      </c>
      <c r="AR36" s="50"/>
      <c r="AS36" s="51"/>
      <c r="AT36" s="4">
        <f t="shared" si="16"/>
        <v>117</v>
      </c>
      <c r="AU36" s="4">
        <f t="shared" si="32"/>
        <v>81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80</v>
      </c>
      <c r="AK37" s="4">
        <f t="shared" si="30"/>
        <v>60</v>
      </c>
      <c r="AL37" s="4">
        <f t="shared" si="13"/>
        <v>0</v>
      </c>
      <c r="AM37" s="50"/>
      <c r="AN37" s="51"/>
      <c r="AO37" s="4">
        <f t="shared" si="14"/>
        <v>100</v>
      </c>
      <c r="AP37" s="4">
        <f t="shared" si="31"/>
        <v>66</v>
      </c>
      <c r="AQ37" s="4">
        <f t="shared" si="15"/>
        <v>0</v>
      </c>
      <c r="AR37" s="50"/>
      <c r="AS37" s="51"/>
      <c r="AT37" s="4">
        <f t="shared" si="16"/>
        <v>117</v>
      </c>
      <c r="AU37" s="4">
        <f t="shared" si="32"/>
        <v>81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80</v>
      </c>
      <c r="AK38" s="4">
        <f t="shared" si="30"/>
        <v>60</v>
      </c>
      <c r="AL38" s="4">
        <f t="shared" si="13"/>
        <v>0</v>
      </c>
      <c r="AM38" s="50"/>
      <c r="AN38" s="51"/>
      <c r="AO38" s="4">
        <f t="shared" si="14"/>
        <v>100</v>
      </c>
      <c r="AP38" s="4">
        <f t="shared" si="31"/>
        <v>66</v>
      </c>
      <c r="AQ38" s="4">
        <f t="shared" si="15"/>
        <v>0</v>
      </c>
      <c r="AR38" s="50"/>
      <c r="AS38" s="51"/>
      <c r="AT38" s="4">
        <f t="shared" si="16"/>
        <v>117</v>
      </c>
      <c r="AU38" s="4">
        <f t="shared" si="32"/>
        <v>81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80</v>
      </c>
      <c r="AK39" s="4">
        <f t="shared" si="30"/>
        <v>60</v>
      </c>
      <c r="AL39" s="4">
        <f t="shared" si="13"/>
        <v>0</v>
      </c>
      <c r="AM39" s="50"/>
      <c r="AN39" s="52"/>
      <c r="AO39" s="4">
        <f t="shared" si="14"/>
        <v>100</v>
      </c>
      <c r="AP39" s="4">
        <f t="shared" si="31"/>
        <v>66</v>
      </c>
      <c r="AQ39" s="4">
        <f t="shared" si="15"/>
        <v>0</v>
      </c>
      <c r="AR39" s="50"/>
      <c r="AS39" s="52"/>
      <c r="AT39" s="4">
        <f t="shared" si="16"/>
        <v>117</v>
      </c>
      <c r="AU39" s="4">
        <f t="shared" si="32"/>
        <v>81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80</v>
      </c>
      <c r="AK40" s="4">
        <f t="shared" si="30"/>
        <v>60</v>
      </c>
      <c r="AL40" s="4">
        <f t="shared" si="13"/>
        <v>0</v>
      </c>
      <c r="AM40" s="50"/>
      <c r="AN40" s="51"/>
      <c r="AO40" s="4">
        <f t="shared" si="14"/>
        <v>100</v>
      </c>
      <c r="AP40" s="4">
        <f t="shared" si="31"/>
        <v>66</v>
      </c>
      <c r="AQ40" s="4">
        <f t="shared" si="15"/>
        <v>0</v>
      </c>
      <c r="AR40" s="50"/>
      <c r="AS40" s="51"/>
      <c r="AT40" s="4">
        <f t="shared" si="16"/>
        <v>117</v>
      </c>
      <c r="AU40" s="4">
        <f t="shared" si="32"/>
        <v>81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80</v>
      </c>
      <c r="AK41" s="4">
        <f t="shared" si="30"/>
        <v>60</v>
      </c>
      <c r="AL41" s="4">
        <f t="shared" si="13"/>
        <v>0</v>
      </c>
      <c r="AM41" s="50"/>
      <c r="AN41" s="52"/>
      <c r="AO41" s="4">
        <f t="shared" si="14"/>
        <v>100</v>
      </c>
      <c r="AP41" s="4">
        <f t="shared" si="31"/>
        <v>66</v>
      </c>
      <c r="AQ41" s="4">
        <f t="shared" si="15"/>
        <v>0</v>
      </c>
      <c r="AR41" s="50"/>
      <c r="AS41" s="52"/>
      <c r="AT41" s="4">
        <f t="shared" si="16"/>
        <v>117</v>
      </c>
      <c r="AU41" s="4">
        <f t="shared" si="32"/>
        <v>81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80</v>
      </c>
      <c r="AK42" s="4">
        <f t="shared" si="30"/>
        <v>60</v>
      </c>
      <c r="AL42" s="4">
        <f t="shared" si="13"/>
        <v>0</v>
      </c>
      <c r="AM42" s="50"/>
      <c r="AN42" s="52"/>
      <c r="AO42" s="4">
        <f t="shared" si="14"/>
        <v>100</v>
      </c>
      <c r="AP42" s="4">
        <f t="shared" si="31"/>
        <v>66</v>
      </c>
      <c r="AQ42" s="4">
        <f t="shared" si="15"/>
        <v>0</v>
      </c>
      <c r="AR42" s="50"/>
      <c r="AS42" s="52"/>
      <c r="AT42" s="4">
        <f t="shared" si="16"/>
        <v>117</v>
      </c>
      <c r="AU42" s="4">
        <f t="shared" si="32"/>
        <v>81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80</v>
      </c>
      <c r="AK43" s="4">
        <f t="shared" si="30"/>
        <v>60</v>
      </c>
      <c r="AL43" s="4">
        <f t="shared" si="13"/>
        <v>0</v>
      </c>
      <c r="AM43" s="50"/>
      <c r="AN43" s="52"/>
      <c r="AO43" s="4">
        <f t="shared" si="14"/>
        <v>100</v>
      </c>
      <c r="AP43" s="4">
        <f t="shared" si="31"/>
        <v>66</v>
      </c>
      <c r="AQ43" s="4">
        <f t="shared" si="15"/>
        <v>0</v>
      </c>
      <c r="AR43" s="50"/>
      <c r="AS43" s="52"/>
      <c r="AT43" s="4">
        <f t="shared" si="16"/>
        <v>117</v>
      </c>
      <c r="AU43" s="4">
        <f t="shared" si="32"/>
        <v>81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80</v>
      </c>
      <c r="AK44" s="4">
        <f t="shared" si="30"/>
        <v>60</v>
      </c>
      <c r="AL44" s="4">
        <f t="shared" si="13"/>
        <v>0</v>
      </c>
      <c r="AM44" s="50"/>
      <c r="AN44" s="52"/>
      <c r="AO44" s="4">
        <f t="shared" si="14"/>
        <v>100</v>
      </c>
      <c r="AP44" s="4">
        <f t="shared" si="31"/>
        <v>66</v>
      </c>
      <c r="AQ44" s="4">
        <f t="shared" si="15"/>
        <v>0</v>
      </c>
      <c r="AR44" s="50"/>
      <c r="AS44" s="52"/>
      <c r="AT44" s="4">
        <f t="shared" si="16"/>
        <v>117</v>
      </c>
      <c r="AU44" s="4">
        <f t="shared" si="32"/>
        <v>81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80</v>
      </c>
      <c r="AK45" s="4">
        <f t="shared" si="30"/>
        <v>60</v>
      </c>
      <c r="AL45" s="4">
        <f t="shared" si="13"/>
        <v>0</v>
      </c>
      <c r="AM45" s="50"/>
      <c r="AN45" s="51"/>
      <c r="AO45" s="4">
        <f t="shared" si="14"/>
        <v>100</v>
      </c>
      <c r="AP45" s="4">
        <f t="shared" si="31"/>
        <v>66</v>
      </c>
      <c r="AQ45" s="4">
        <f t="shared" si="15"/>
        <v>0</v>
      </c>
      <c r="AR45" s="50"/>
      <c r="AS45" s="51"/>
      <c r="AT45" s="4">
        <f t="shared" si="16"/>
        <v>117</v>
      </c>
      <c r="AU45" s="4">
        <f t="shared" si="32"/>
        <v>81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80</v>
      </c>
      <c r="AK46" s="4">
        <f t="shared" si="30"/>
        <v>60</v>
      </c>
      <c r="AL46" s="4">
        <f t="shared" si="13"/>
        <v>0</v>
      </c>
      <c r="AM46" s="50"/>
      <c r="AN46" s="51"/>
      <c r="AO46" s="4">
        <f t="shared" si="14"/>
        <v>100</v>
      </c>
      <c r="AP46" s="4">
        <f t="shared" si="31"/>
        <v>66</v>
      </c>
      <c r="AQ46" s="4">
        <f t="shared" si="15"/>
        <v>0</v>
      </c>
      <c r="AR46" s="50"/>
      <c r="AS46" s="51"/>
      <c r="AT46" s="4">
        <f t="shared" si="16"/>
        <v>117</v>
      </c>
      <c r="AU46" s="4">
        <f t="shared" si="32"/>
        <v>81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80</v>
      </c>
      <c r="AK47" s="4">
        <f t="shared" si="30"/>
        <v>60</v>
      </c>
      <c r="AL47" s="4">
        <f t="shared" si="13"/>
        <v>0</v>
      </c>
      <c r="AM47" s="50"/>
      <c r="AN47" s="51"/>
      <c r="AO47" s="4">
        <f t="shared" si="14"/>
        <v>100</v>
      </c>
      <c r="AP47" s="4">
        <f t="shared" si="31"/>
        <v>66</v>
      </c>
      <c r="AQ47" s="4">
        <f t="shared" si="15"/>
        <v>0</v>
      </c>
      <c r="AR47" s="50"/>
      <c r="AS47" s="51"/>
      <c r="AT47" s="4">
        <f t="shared" si="16"/>
        <v>117</v>
      </c>
      <c r="AU47" s="4">
        <f t="shared" si="32"/>
        <v>81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80</v>
      </c>
      <c r="AK48" s="4">
        <f t="shared" si="30"/>
        <v>60</v>
      </c>
      <c r="AL48" s="4">
        <f t="shared" si="13"/>
        <v>0</v>
      </c>
      <c r="AM48" s="50"/>
      <c r="AN48" s="51"/>
      <c r="AO48" s="4">
        <f t="shared" si="14"/>
        <v>100</v>
      </c>
      <c r="AP48" s="4">
        <f t="shared" si="31"/>
        <v>66</v>
      </c>
      <c r="AQ48" s="4">
        <f t="shared" si="15"/>
        <v>0</v>
      </c>
      <c r="AR48" s="50"/>
      <c r="AS48" s="51"/>
      <c r="AT48" s="4">
        <f t="shared" si="16"/>
        <v>117</v>
      </c>
      <c r="AU48" s="4">
        <f t="shared" si="32"/>
        <v>81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80</v>
      </c>
      <c r="AK49" s="55">
        <f t="shared" si="30"/>
        <v>60</v>
      </c>
      <c r="AL49" s="55">
        <f t="shared" si="13"/>
        <v>0</v>
      </c>
      <c r="AM49" s="53"/>
      <c r="AN49" s="54"/>
      <c r="AO49" s="55">
        <f t="shared" si="14"/>
        <v>100</v>
      </c>
      <c r="AP49" s="55">
        <f t="shared" si="31"/>
        <v>66</v>
      </c>
      <c r="AQ49" s="55">
        <f t="shared" si="15"/>
        <v>0</v>
      </c>
      <c r="AR49" s="53"/>
      <c r="AS49" s="54"/>
      <c r="AT49" s="55">
        <f t="shared" si="16"/>
        <v>117</v>
      </c>
      <c r="AU49" s="55">
        <f t="shared" si="32"/>
        <v>81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1745-E1E1-4596-9B7C-D9A4E13849FC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D2" sqref="D2"/>
      <selection pane="topRight" activeCell="D2" sqref="D2"/>
      <selection pane="bottomLeft" activeCell="D2" sqref="D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6" customFormat="1" ht="42.75" customHeight="1" thickTop="1" thickBot="1" x14ac:dyDescent="0.4">
      <c r="A2" s="136" t="s">
        <v>138</v>
      </c>
      <c r="B2" s="137"/>
      <c r="C2" s="137"/>
      <c r="D2" s="114" t="s">
        <v>111</v>
      </c>
      <c r="E2" s="115">
        <v>46300.824881712964</v>
      </c>
      <c r="G2" s="117"/>
      <c r="H2" s="117"/>
    </row>
    <row r="3" spans="1:8" s="116" customFormat="1" ht="24.75" thickTop="1" thickBot="1" x14ac:dyDescent="0.4">
      <c r="A3" s="118" t="s">
        <v>112</v>
      </c>
      <c r="B3" s="119" t="s">
        <v>113</v>
      </c>
      <c r="C3" s="120" t="s">
        <v>2</v>
      </c>
      <c r="D3" s="121" t="s">
        <v>114</v>
      </c>
      <c r="E3" s="122" t="s">
        <v>115</v>
      </c>
    </row>
    <row r="4" spans="1:8" ht="22.5" thickTop="1" thickBot="1" x14ac:dyDescent="0.3">
      <c r="A4" s="123">
        <v>1</v>
      </c>
      <c r="B4" s="124"/>
      <c r="C4" s="125" t="s">
        <v>137</v>
      </c>
      <c r="D4" s="126">
        <v>90.6</v>
      </c>
      <c r="E4" s="127" t="s">
        <v>118</v>
      </c>
    </row>
    <row r="5" spans="1:8" ht="22.5" thickTop="1" thickBot="1" x14ac:dyDescent="0.3">
      <c r="A5" s="123">
        <v>2</v>
      </c>
      <c r="B5" s="124"/>
      <c r="C5" s="125" t="s">
        <v>144</v>
      </c>
      <c r="D5" s="126">
        <v>96.5</v>
      </c>
      <c r="E5" s="127" t="s">
        <v>136</v>
      </c>
    </row>
    <row r="6" spans="1:8" ht="22.5" thickTop="1" thickBot="1" x14ac:dyDescent="0.3">
      <c r="A6" s="123">
        <v>3</v>
      </c>
      <c r="B6" s="124"/>
      <c r="C6" s="125" t="s">
        <v>135</v>
      </c>
      <c r="D6" s="126">
        <v>88</v>
      </c>
      <c r="E6" s="127" t="s">
        <v>126</v>
      </c>
    </row>
    <row r="7" spans="1:8" ht="22.5" thickTop="1" thickBot="1" x14ac:dyDescent="0.3">
      <c r="A7" s="123">
        <v>4</v>
      </c>
      <c r="B7" s="124"/>
      <c r="C7" s="125" t="s">
        <v>134</v>
      </c>
      <c r="D7" s="126">
        <v>76</v>
      </c>
      <c r="E7" s="127" t="s">
        <v>133</v>
      </c>
    </row>
    <row r="8" spans="1:8" ht="22.5" thickTop="1" thickBot="1" x14ac:dyDescent="0.3">
      <c r="A8" s="123">
        <v>5</v>
      </c>
      <c r="B8" s="124"/>
      <c r="C8" s="125" t="s">
        <v>132</v>
      </c>
      <c r="D8" s="126">
        <v>79</v>
      </c>
      <c r="E8" s="127" t="s">
        <v>143</v>
      </c>
    </row>
    <row r="9" spans="1:8" ht="22.5" thickTop="1" thickBot="1" x14ac:dyDescent="0.3">
      <c r="A9" s="123">
        <v>6</v>
      </c>
      <c r="B9" s="124"/>
      <c r="C9" s="125" t="s">
        <v>131</v>
      </c>
      <c r="D9" s="126" t="s">
        <v>117</v>
      </c>
      <c r="E9" s="127" t="s">
        <v>65</v>
      </c>
    </row>
    <row r="10" spans="1:8" ht="22.5" thickTop="1" thickBot="1" x14ac:dyDescent="0.3">
      <c r="A10" s="123">
        <v>7</v>
      </c>
      <c r="B10" s="124"/>
      <c r="C10" s="125" t="s">
        <v>116</v>
      </c>
      <c r="D10" s="126" t="s">
        <v>117</v>
      </c>
      <c r="E10" s="127" t="s">
        <v>65</v>
      </c>
    </row>
    <row r="11" spans="1:8" ht="22.5" thickTop="1" thickBot="1" x14ac:dyDescent="0.3">
      <c r="A11" s="123">
        <v>8</v>
      </c>
      <c r="B11" s="124"/>
      <c r="C11" s="125" t="s">
        <v>130</v>
      </c>
      <c r="D11" s="126" t="s">
        <v>117</v>
      </c>
      <c r="E11" s="127" t="s">
        <v>65</v>
      </c>
    </row>
    <row r="12" spans="1:8" ht="22.5" thickTop="1" thickBot="1" x14ac:dyDescent="0.3">
      <c r="A12" s="123">
        <v>9</v>
      </c>
      <c r="B12" s="124"/>
      <c r="C12" s="125" t="s">
        <v>129</v>
      </c>
      <c r="D12" s="126">
        <v>94</v>
      </c>
      <c r="E12" s="127" t="s">
        <v>119</v>
      </c>
    </row>
    <row r="13" spans="1:8" ht="22.5" thickTop="1" thickBot="1" x14ac:dyDescent="0.3">
      <c r="A13" s="123">
        <v>10</v>
      </c>
      <c r="B13" s="124"/>
      <c r="C13" s="125" t="s">
        <v>142</v>
      </c>
      <c r="D13" s="126" t="s">
        <v>117</v>
      </c>
      <c r="E13" s="127" t="s">
        <v>65</v>
      </c>
    </row>
    <row r="14" spans="1:8" ht="22.5" thickTop="1" thickBot="1" x14ac:dyDescent="0.3">
      <c r="A14" s="123">
        <v>11</v>
      </c>
      <c r="B14" s="124"/>
      <c r="C14" s="125" t="s">
        <v>141</v>
      </c>
      <c r="D14" s="126" t="s">
        <v>117</v>
      </c>
      <c r="E14" s="127" t="s">
        <v>65</v>
      </c>
    </row>
    <row r="15" spans="1:8" ht="22.5" thickTop="1" thickBot="1" x14ac:dyDescent="0.3">
      <c r="A15" s="123">
        <v>12</v>
      </c>
      <c r="B15" s="124"/>
      <c r="C15" s="125" t="s">
        <v>140</v>
      </c>
      <c r="D15" s="126" t="s">
        <v>117</v>
      </c>
      <c r="E15" s="127" t="s">
        <v>65</v>
      </c>
    </row>
    <row r="16" spans="1:8" ht="22.5" thickTop="1" thickBot="1" x14ac:dyDescent="0.3">
      <c r="A16" s="123">
        <v>13</v>
      </c>
      <c r="B16" s="124"/>
      <c r="C16" s="125" t="s">
        <v>128</v>
      </c>
      <c r="D16" s="126" t="s">
        <v>117</v>
      </c>
      <c r="E16" s="127" t="s">
        <v>65</v>
      </c>
    </row>
    <row r="17" spans="1:7" ht="22.5" thickTop="1" thickBot="1" x14ac:dyDescent="0.3">
      <c r="A17" s="123">
        <v>14</v>
      </c>
      <c r="B17" s="124"/>
      <c r="C17" s="125" t="s">
        <v>127</v>
      </c>
      <c r="D17" s="126">
        <v>89</v>
      </c>
      <c r="E17" s="127" t="s">
        <v>126</v>
      </c>
    </row>
    <row r="18" spans="1:7" ht="22.5" thickTop="1" thickBot="1" x14ac:dyDescent="0.3">
      <c r="A18" s="123">
        <v>15</v>
      </c>
      <c r="B18" s="124"/>
      <c r="C18" s="125" t="s">
        <v>139</v>
      </c>
      <c r="D18" s="126" t="s">
        <v>117</v>
      </c>
      <c r="E18" s="127" t="s">
        <v>65</v>
      </c>
    </row>
    <row r="19" spans="1:7" ht="22.5" thickTop="1" thickBot="1" x14ac:dyDescent="0.3">
      <c r="A19" s="123">
        <v>16</v>
      </c>
      <c r="B19" s="124"/>
      <c r="C19" s="125" t="s">
        <v>125</v>
      </c>
      <c r="D19" s="126">
        <v>115</v>
      </c>
      <c r="E19" s="127">
        <v>0</v>
      </c>
    </row>
    <row r="20" spans="1:7" ht="22.5" thickTop="1" thickBot="1" x14ac:dyDescent="0.3">
      <c r="A20" s="123">
        <v>17</v>
      </c>
      <c r="B20" s="124"/>
      <c r="C20" s="125" t="s">
        <v>124</v>
      </c>
      <c r="D20" s="126" t="s">
        <v>117</v>
      </c>
      <c r="E20" s="127" t="s">
        <v>65</v>
      </c>
    </row>
    <row r="21" spans="1:7" ht="22.5" thickTop="1" thickBot="1" x14ac:dyDescent="0.3">
      <c r="A21" s="123">
        <v>18</v>
      </c>
      <c r="B21" s="124"/>
      <c r="C21" s="125" t="s">
        <v>123</v>
      </c>
      <c r="D21" s="126" t="s">
        <v>117</v>
      </c>
      <c r="E21" s="127" t="s">
        <v>65</v>
      </c>
    </row>
    <row r="22" spans="1:7" ht="22.5" thickTop="1" thickBot="1" x14ac:dyDescent="0.3">
      <c r="A22" s="123">
        <v>19</v>
      </c>
      <c r="B22" s="124"/>
      <c r="C22" s="125" t="e">
        <v>#N/A</v>
      </c>
      <c r="D22" s="126" t="s">
        <v>117</v>
      </c>
      <c r="E22" s="127" t="s">
        <v>65</v>
      </c>
    </row>
    <row r="23" spans="1:7" ht="22.5" thickTop="1" thickBot="1" x14ac:dyDescent="0.3">
      <c r="A23" s="123">
        <v>20</v>
      </c>
      <c r="B23" s="124"/>
      <c r="C23" s="125" t="e">
        <v>#N/A</v>
      </c>
      <c r="D23" s="126" t="s">
        <v>117</v>
      </c>
      <c r="E23" s="127" t="s">
        <v>65</v>
      </c>
    </row>
    <row r="24" spans="1:7" ht="22.5" thickTop="1" thickBot="1" x14ac:dyDescent="0.3">
      <c r="A24" s="123">
        <v>21</v>
      </c>
      <c r="B24" s="124"/>
      <c r="C24" s="125" t="e">
        <v>#N/A</v>
      </c>
      <c r="D24" s="126" t="s">
        <v>117</v>
      </c>
      <c r="E24" s="127" t="s">
        <v>65</v>
      </c>
    </row>
    <row r="25" spans="1:7" ht="22.5" thickTop="1" thickBot="1" x14ac:dyDescent="0.3">
      <c r="A25" s="123">
        <v>22</v>
      </c>
      <c r="B25" s="124"/>
      <c r="C25" s="125" t="e">
        <v>#N/A</v>
      </c>
      <c r="D25" s="126" t="s">
        <v>117</v>
      </c>
      <c r="E25" s="127" t="s">
        <v>65</v>
      </c>
    </row>
    <row r="26" spans="1:7" ht="22.5" thickTop="1" thickBot="1" x14ac:dyDescent="0.3">
      <c r="A26" s="123">
        <v>23</v>
      </c>
      <c r="B26" s="124"/>
      <c r="C26" s="125" t="e">
        <v>#N/A</v>
      </c>
      <c r="D26" s="126" t="s">
        <v>117</v>
      </c>
      <c r="E26" s="127" t="s">
        <v>65</v>
      </c>
      <c r="G26" t="s">
        <v>122</v>
      </c>
    </row>
    <row r="27" spans="1:7" ht="22.5" thickTop="1" thickBot="1" x14ac:dyDescent="0.3">
      <c r="A27" s="123">
        <v>24</v>
      </c>
      <c r="B27" s="124"/>
      <c r="C27" s="125" t="e">
        <v>#N/A</v>
      </c>
      <c r="D27" s="126" t="s">
        <v>117</v>
      </c>
      <c r="E27" s="127" t="s">
        <v>65</v>
      </c>
      <c r="G27" t="s">
        <v>121</v>
      </c>
    </row>
    <row r="28" spans="1:7" ht="22.5" thickTop="1" thickBot="1" x14ac:dyDescent="0.3">
      <c r="A28" s="123">
        <v>25</v>
      </c>
      <c r="B28" s="124"/>
      <c r="C28" s="125" t="e">
        <v>#N/A</v>
      </c>
      <c r="D28" s="126" t="s">
        <v>117</v>
      </c>
      <c r="E28" s="127" t="s">
        <v>65</v>
      </c>
      <c r="G28" t="s">
        <v>120</v>
      </c>
    </row>
    <row r="29" spans="1:7" ht="22.5" thickTop="1" thickBot="1" x14ac:dyDescent="0.3">
      <c r="A29" s="123">
        <v>26</v>
      </c>
      <c r="B29" s="124"/>
      <c r="C29" s="125" t="e">
        <v>#N/A</v>
      </c>
      <c r="D29" s="126" t="s">
        <v>117</v>
      </c>
      <c r="E29" s="127" t="s">
        <v>65</v>
      </c>
    </row>
    <row r="30" spans="1:7" ht="22.5" thickTop="1" thickBot="1" x14ac:dyDescent="0.3">
      <c r="A30" s="123">
        <v>27</v>
      </c>
      <c r="B30" s="124"/>
      <c r="C30" s="125" t="e">
        <v>#N/A</v>
      </c>
      <c r="D30" s="126" t="s">
        <v>117</v>
      </c>
      <c r="E30" s="127" t="s">
        <v>65</v>
      </c>
    </row>
    <row r="31" spans="1:7" ht="22.5" thickTop="1" thickBot="1" x14ac:dyDescent="0.3">
      <c r="A31" s="123">
        <v>28</v>
      </c>
      <c r="B31" s="124"/>
      <c r="C31" s="125" t="e">
        <v>#N/A</v>
      </c>
      <c r="D31" s="126" t="s">
        <v>117</v>
      </c>
      <c r="E31" s="127" t="s">
        <v>65</v>
      </c>
    </row>
    <row r="32" spans="1:7" ht="22.5" thickTop="1" thickBot="1" x14ac:dyDescent="0.3">
      <c r="A32" s="123">
        <v>29</v>
      </c>
      <c r="B32" s="124"/>
      <c r="C32" s="125" t="e">
        <v>#N/A</v>
      </c>
      <c r="D32" s="126" t="s">
        <v>117</v>
      </c>
      <c r="E32" s="127" t="s">
        <v>65</v>
      </c>
    </row>
    <row r="33" spans="1:5" ht="22.5" thickTop="1" thickBot="1" x14ac:dyDescent="0.3">
      <c r="A33" s="123">
        <v>30</v>
      </c>
      <c r="B33" s="124"/>
      <c r="C33" s="125" t="e">
        <v>#N/A</v>
      </c>
      <c r="D33" s="126" t="s">
        <v>117</v>
      </c>
      <c r="E33" s="127" t="s">
        <v>65</v>
      </c>
    </row>
    <row r="34" spans="1:5" ht="22.5" thickTop="1" thickBot="1" x14ac:dyDescent="0.3">
      <c r="A34" s="123">
        <v>31</v>
      </c>
      <c r="B34" s="124"/>
      <c r="C34" s="125" t="e">
        <v>#N/A</v>
      </c>
      <c r="D34" s="126" t="s">
        <v>117</v>
      </c>
      <c r="E34" s="127" t="s">
        <v>65</v>
      </c>
    </row>
    <row r="35" spans="1:5" ht="22.5" thickTop="1" thickBot="1" x14ac:dyDescent="0.3">
      <c r="A35" s="123">
        <v>32</v>
      </c>
      <c r="B35" s="124"/>
      <c r="C35" s="125" t="e">
        <v>#N/A</v>
      </c>
      <c r="D35" s="126" t="s">
        <v>117</v>
      </c>
      <c r="E35" s="127" t="s">
        <v>65</v>
      </c>
    </row>
    <row r="36" spans="1:5" ht="22.5" thickTop="1" thickBot="1" x14ac:dyDescent="0.3">
      <c r="A36" s="123">
        <v>33</v>
      </c>
      <c r="B36" s="124"/>
      <c r="C36" s="125" t="e">
        <v>#N/A</v>
      </c>
      <c r="D36" s="126" t="s">
        <v>117</v>
      </c>
      <c r="E36" s="127" t="s">
        <v>65</v>
      </c>
    </row>
    <row r="37" spans="1:5" ht="22.5" thickTop="1" thickBot="1" x14ac:dyDescent="0.3">
      <c r="A37" s="123">
        <v>34</v>
      </c>
      <c r="B37" s="124"/>
      <c r="C37" s="125" t="e">
        <v>#N/A</v>
      </c>
      <c r="D37" s="126" t="s">
        <v>117</v>
      </c>
      <c r="E37" s="127" t="s">
        <v>65</v>
      </c>
    </row>
    <row r="38" spans="1:5" ht="22.5" thickTop="1" thickBot="1" x14ac:dyDescent="0.3">
      <c r="A38" s="123">
        <v>35</v>
      </c>
      <c r="B38" s="124"/>
      <c r="C38" s="125" t="e">
        <v>#N/A</v>
      </c>
      <c r="D38" s="126" t="s">
        <v>117</v>
      </c>
      <c r="E38" s="127" t="s">
        <v>65</v>
      </c>
    </row>
    <row r="39" spans="1:5" ht="22.5" thickTop="1" thickBot="1" x14ac:dyDescent="0.3">
      <c r="A39" s="123">
        <v>36</v>
      </c>
      <c r="B39" s="124"/>
      <c r="C39" s="125" t="e">
        <v>#N/A</v>
      </c>
      <c r="D39" s="126" t="s">
        <v>117</v>
      </c>
      <c r="E39" s="127" t="s">
        <v>65</v>
      </c>
    </row>
    <row r="40" spans="1:5" ht="22.5" thickTop="1" thickBot="1" x14ac:dyDescent="0.3">
      <c r="A40" s="123">
        <v>37</v>
      </c>
      <c r="B40" s="124"/>
      <c r="C40" s="125" t="e">
        <v>#N/A</v>
      </c>
      <c r="D40" s="126" t="s">
        <v>117</v>
      </c>
      <c r="E40" s="127" t="s">
        <v>65</v>
      </c>
    </row>
    <row r="41" spans="1:5" ht="22.5" thickTop="1" thickBot="1" x14ac:dyDescent="0.3">
      <c r="A41" s="123">
        <v>38</v>
      </c>
      <c r="B41" s="124"/>
      <c r="C41" s="125" t="e">
        <v>#N/A</v>
      </c>
      <c r="D41" s="126" t="s">
        <v>117</v>
      </c>
      <c r="E41" s="127" t="s">
        <v>65</v>
      </c>
    </row>
    <row r="42" spans="1:5" ht="22.5" thickTop="1" thickBot="1" x14ac:dyDescent="0.3">
      <c r="A42" s="123">
        <v>39</v>
      </c>
      <c r="B42" s="124"/>
      <c r="C42" s="125" t="e">
        <v>#N/A</v>
      </c>
      <c r="D42" s="126" t="s">
        <v>117</v>
      </c>
      <c r="E42" s="127" t="s">
        <v>65</v>
      </c>
    </row>
    <row r="43" spans="1:5" ht="22.5" thickTop="1" thickBot="1" x14ac:dyDescent="0.3">
      <c r="A43" s="123">
        <v>40</v>
      </c>
      <c r="B43" s="124"/>
      <c r="C43" s="125" t="e">
        <v>#N/A</v>
      </c>
      <c r="D43" s="126" t="s">
        <v>117</v>
      </c>
      <c r="E43" s="127" t="s">
        <v>65</v>
      </c>
    </row>
    <row r="44" spans="1:5" ht="22.5" thickTop="1" thickBot="1" x14ac:dyDescent="0.3">
      <c r="A44" s="123">
        <v>41</v>
      </c>
      <c r="B44" s="124"/>
      <c r="C44" s="125" t="e">
        <v>#N/A</v>
      </c>
      <c r="D44" s="126" t="s">
        <v>117</v>
      </c>
      <c r="E44" s="127" t="s">
        <v>65</v>
      </c>
    </row>
    <row r="45" spans="1:5" ht="22.5" thickTop="1" thickBot="1" x14ac:dyDescent="0.3">
      <c r="A45" s="123">
        <v>42</v>
      </c>
      <c r="B45" s="124"/>
      <c r="C45" s="125" t="e">
        <v>#N/A</v>
      </c>
      <c r="D45" s="126" t="s">
        <v>117</v>
      </c>
      <c r="E45" s="127" t="s">
        <v>65</v>
      </c>
    </row>
    <row r="46" spans="1:5" ht="22.5" thickTop="1" thickBot="1" x14ac:dyDescent="0.3">
      <c r="A46" s="123">
        <v>43</v>
      </c>
      <c r="B46" s="124"/>
      <c r="C46" s="125" t="e">
        <v>#N/A</v>
      </c>
      <c r="D46" s="126" t="s">
        <v>117</v>
      </c>
      <c r="E46" s="127" t="s">
        <v>65</v>
      </c>
    </row>
    <row r="47" spans="1:5" ht="22.5" thickTop="1" thickBot="1" x14ac:dyDescent="0.3">
      <c r="A47" s="123">
        <v>44</v>
      </c>
      <c r="B47" s="124"/>
      <c r="C47" s="125" t="e">
        <v>#N/A</v>
      </c>
      <c r="D47" s="126" t="s">
        <v>117</v>
      </c>
      <c r="E47" s="127" t="s">
        <v>65</v>
      </c>
    </row>
    <row r="48" spans="1:5" ht="22.5" thickTop="1" thickBot="1" x14ac:dyDescent="0.3">
      <c r="A48" s="123">
        <v>45</v>
      </c>
      <c r="B48" s="124"/>
      <c r="C48" s="125" t="e">
        <v>#N/A</v>
      </c>
      <c r="D48" s="126" t="s">
        <v>117</v>
      </c>
      <c r="E48" s="127" t="s">
        <v>65</v>
      </c>
    </row>
    <row r="49" spans="1:7" ht="187.5" customHeight="1" thickTop="1" x14ac:dyDescent="0.4">
      <c r="A49" s="138"/>
      <c r="B49" s="139"/>
      <c r="C49" s="139"/>
      <c r="D49" s="139"/>
      <c r="E49" s="140"/>
      <c r="G49" s="128"/>
    </row>
    <row r="50" spans="1:7" ht="169.5" customHeight="1" x14ac:dyDescent="0.25">
      <c r="A50" s="129"/>
      <c r="B50" s="129"/>
      <c r="C50" s="130"/>
      <c r="D50" s="130"/>
      <c r="E50" s="131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2"/>
      <c r="D77" s="132"/>
    </row>
    <row r="78" spans="3:4" ht="30" customHeight="1" x14ac:dyDescent="0.25">
      <c r="C78" s="132"/>
      <c r="D78" s="132"/>
    </row>
    <row r="79" spans="3:4" ht="30" customHeight="1" x14ac:dyDescent="0.25">
      <c r="C79" s="132"/>
      <c r="D79" s="132"/>
    </row>
    <row r="80" spans="3:4" ht="30" customHeight="1" x14ac:dyDescent="0.25">
      <c r="C80" s="132"/>
      <c r="D80" s="132"/>
    </row>
    <row r="81" spans="3:6" ht="30" customHeight="1" x14ac:dyDescent="0.25">
      <c r="C81" s="132"/>
      <c r="D81" s="132"/>
    </row>
    <row r="82" spans="3:6" ht="30" customHeight="1" x14ac:dyDescent="0.25">
      <c r="C82" s="132"/>
      <c r="D82" s="132"/>
    </row>
    <row r="83" spans="3:6" ht="30" customHeight="1" x14ac:dyDescent="0.25">
      <c r="C83" s="132"/>
      <c r="D83" s="132"/>
    </row>
    <row r="84" spans="3:6" ht="30" customHeight="1" x14ac:dyDescent="0.25">
      <c r="C84" s="132"/>
      <c r="D84" s="132"/>
    </row>
    <row r="85" spans="3:6" ht="30" customHeight="1" x14ac:dyDescent="0.25">
      <c r="C85" s="132"/>
      <c r="D85" s="132"/>
    </row>
    <row r="86" spans="3:6" ht="30" customHeight="1" x14ac:dyDescent="0.25">
      <c r="C86" s="132"/>
      <c r="D86" s="132"/>
    </row>
    <row r="87" spans="3:6" ht="30" customHeight="1" x14ac:dyDescent="0.25">
      <c r="C87" s="132"/>
      <c r="D87" s="132"/>
    </row>
    <row r="88" spans="3:6" ht="30" customHeight="1" x14ac:dyDescent="0.25">
      <c r="C88" s="132"/>
      <c r="D88" s="132"/>
    </row>
    <row r="89" spans="3:6" ht="30" customHeight="1" x14ac:dyDescent="0.25">
      <c r="C89" s="132"/>
      <c r="D89" s="132"/>
    </row>
    <row r="90" spans="3:6" x14ac:dyDescent="0.25">
      <c r="C90" s="132"/>
      <c r="D90" s="132"/>
    </row>
    <row r="91" spans="3:6" x14ac:dyDescent="0.25">
      <c r="C91" s="133"/>
      <c r="D91" s="133"/>
      <c r="E91" s="134"/>
      <c r="F91" s="135"/>
    </row>
    <row r="92" spans="3:6" x14ac:dyDescent="0.25">
      <c r="C92" s="133"/>
      <c r="D92" s="133"/>
      <c r="E92" s="134"/>
      <c r="F92" s="135"/>
    </row>
    <row r="93" spans="3:6" x14ac:dyDescent="0.25">
      <c r="C93" s="134"/>
      <c r="D93" s="134"/>
      <c r="E93" s="135"/>
      <c r="F93" s="135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2026-10-05T22:47:51Z</dcterms:modified>
</cp:coreProperties>
</file>